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s\JX\Desktop\"/>
    </mc:Choice>
  </mc:AlternateContent>
  <xr:revisionPtr revIDLastSave="0" documentId="13_ncr:1_{6B895746-A247-4A1B-A06A-66D042FC29D5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信息汇总表" sheetId="1" r:id="rId1"/>
    <sheet name="发票基础信息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I11" i="3" l="1"/>
  <c r="G11" i="3"/>
</calcChain>
</file>

<file path=xl/sharedStrings.xml><?xml version="1.0" encoding="utf-8"?>
<sst xmlns="http://schemas.openxmlformats.org/spreadsheetml/2006/main" count="338" uniqueCount="93">
  <si>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</si>
  <si>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</si>
  <si>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</si>
  <si>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</si>
  <si>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</si>
  <si>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</si>
  <si>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</si>
  <si>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</si>
  <si>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</si>
  <si>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</si>
  <si>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</si>
  <si>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</si>
  <si>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</si>
  <si>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</si>
  <si>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</si>
  <si>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</si>
  <si>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</si>
  <si>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</si>
  <si>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</si>
  <si>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</si>
  <si>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</si>
  <si>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</si>
  <si>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</si>
  <si>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</si>
  <si>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</si>
  <si>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</si>
  <si>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</si>
  <si>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</si>
  <si>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</si>
  <si>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25442000000838393877</t>
  </si>
  <si>
    <t>92445200MA4WWMM404</t>
  </si>
  <si>
    <t>揭阳市揭东区磐东洪运来机械厂</t>
  </si>
  <si>
    <t>91440606MA523QB64H</t>
  </si>
  <si>
    <t>佛山市海耐斯五金制品有限公司</t>
  </si>
  <si>
    <t>2025-12-29 18:17:41</t>
  </si>
  <si>
    <t>1080417000000000000</t>
  </si>
  <si>
    <t>*金属制品*滑轨</t>
  </si>
  <si>
    <t>付</t>
  </si>
  <si>
    <t>13%</t>
  </si>
  <si>
    <t>电子发票服务平台</t>
  </si>
  <si>
    <t>数电发票（增值税专用发票）</t>
  </si>
  <si>
    <t>正常</t>
  </si>
  <si>
    <t>是</t>
  </si>
  <si>
    <t>陈家欣</t>
  </si>
  <si>
    <t>2</t>
  </si>
  <si>
    <t>25442000000829040002</t>
  </si>
  <si>
    <t>91321181330978845C</t>
  </si>
  <si>
    <t>丹阳佳护医用器械有限公司</t>
  </si>
  <si>
    <t>2025-12-26 12:51:39</t>
  </si>
  <si>
    <t>*金属制品*导轨</t>
  </si>
  <si>
    <t>套</t>
  </si>
  <si>
    <t>3</t>
  </si>
  <si>
    <t>25442000000824746395</t>
  </si>
  <si>
    <t>91441900MA4UU0HQ68</t>
  </si>
  <si>
    <t>阿里巴巴一达通企业服务（东莞）有限公司</t>
  </si>
  <si>
    <t>2025-12-25 10:50:05</t>
  </si>
  <si>
    <t>*金属制品*铁制导轨</t>
  </si>
  <si>
    <t>千克</t>
  </si>
  <si>
    <t>订单号：7953152-75</t>
  </si>
  <si>
    <t>4</t>
  </si>
  <si>
    <t>25442000000824732389</t>
  </si>
  <si>
    <t>2025-12-25 10:47:52</t>
  </si>
  <si>
    <t>订单号：7953152-74</t>
  </si>
  <si>
    <t>5</t>
  </si>
  <si>
    <t>25442000000824704376</t>
  </si>
  <si>
    <t>91441900776246702A</t>
  </si>
  <si>
    <t>东莞市联匠精密五金有限公司</t>
  </si>
  <si>
    <t>2025-12-25 10:43:17</t>
  </si>
  <si>
    <t>6</t>
  </si>
  <si>
    <t>25442000000806457756</t>
  </si>
  <si>
    <t>914401067435595773</t>
  </si>
  <si>
    <t>广州康信贸易有限公司</t>
  </si>
  <si>
    <t>2025-12-18 20:33:50</t>
  </si>
  <si>
    <t>7</t>
  </si>
  <si>
    <t>25442000000801349968</t>
  </si>
  <si>
    <t>9144030076915122XR</t>
  </si>
  <si>
    <t>纵横华塑胶五金（深圳）有限公司</t>
  </si>
  <si>
    <t>2025-12-17 12:55:08</t>
  </si>
  <si>
    <t>合计行</t>
  </si>
  <si>
    <t>货物或应税劳务名称</t>
    <phoneticPr fontId="3" type="noConversion"/>
  </si>
  <si>
    <t>货物</t>
  </si>
  <si>
    <t>货物</t>
    <phoneticPr fontId="3" type="noConversion"/>
  </si>
  <si>
    <t>*金属制品*滑轨</t>
    <phoneticPr fontId="3" type="noConversion"/>
  </si>
  <si>
    <t>滑轨</t>
  </si>
  <si>
    <t>滑轨</t>
    <phoneticPr fontId="3" type="noConversion"/>
  </si>
  <si>
    <t>导轨</t>
  </si>
  <si>
    <t>铁制导轨</t>
  </si>
  <si>
    <t>总计</t>
  </si>
  <si>
    <t>求和项:数量</t>
  </si>
  <si>
    <t>求和项:金额</t>
  </si>
  <si>
    <t>导轨（套</t>
    <phoneticPr fontId="3" type="noConversion"/>
  </si>
  <si>
    <t>滑轨（付</t>
  </si>
  <si>
    <t>滑轨（套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</si>
</sst>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opLeftCell="H1" workbookViewId="0">
      <selection activeCell="L1" sqref="L1:Q8"/>
    </sheetView>
  </sheetViews>
  <sheetFormatPr defaultRowHeight="13.8"/>
  <cols>
    <col min="1" max="1" width="7.109375" bestFit="1" customWidth="1"/>
    <col min="2" max="3" width="12.6640625" bestFit="1" customWidth="1"/>
    <col min="4" max="4" width="22.6640625" bestFit="1" customWidth="1"/>
    <col min="5" max="5" width="24.44140625" bestFit="1" customWidth="1"/>
    <col min="6" max="6" width="31.44140625" bestFit="1" customWidth="1"/>
    <col min="7" max="7" width="22.6640625" bestFit="1" customWidth="1"/>
    <col min="8" max="8" width="42.44140625" bestFit="1" customWidth="1"/>
    <col min="9" max="9" width="19.21875" bestFit="1" customWidth="1"/>
    <col min="10" max="10" width="21.5546875" bestFit="1" customWidth="1"/>
    <col min="11" max="11" width="18.5546875" bestFit="1" customWidth="1"/>
    <col min="12" max="12" width="27.33203125" bestFit="1" customWidth="1"/>
    <col min="13" max="13" width="12.6640625" bestFit="1" customWidth="1"/>
    <col min="14" max="14" width="7.109375" bestFit="1" customWidth="1"/>
    <col min="15" max="15" width="9.109375" bestFit="1" customWidth="1"/>
    <col min="16" max="16" width="16.6640625" bestFit="1" customWidth="1"/>
    <col min="17" max="17" width="10.5546875" bestFit="1" customWidth="1"/>
    <col min="18" max="18" width="7.109375" bestFit="1" customWidth="1"/>
    <col min="19" max="19" width="9.5546875" bestFit="1" customWidth="1"/>
    <col min="20" max="20" width="12.6640625" bestFit="1" customWidth="1"/>
    <col min="21" max="21" width="18.33203125" bestFit="1" customWidth="1"/>
    <col min="22" max="22" width="29.21875" bestFit="1" customWidth="1"/>
    <col min="23" max="23" width="12.6640625" bestFit="1" customWidth="1"/>
    <col min="24" max="25" width="18.5546875" bestFit="1" customWidth="1"/>
    <col min="26" max="26" width="9.77734375" bestFit="1" customWidth="1"/>
    <col min="27" max="27" width="20.109375" bestFit="1" customWidth="1"/>
  </cols>
  <sheetData>
    <row r="1" spans="1:27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4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 t="s">
        <v>37</v>
      </c>
      <c r="O2" s="3">
        <v>1866</v>
      </c>
      <c r="P2" s="3">
        <v>8.8506957288790993</v>
      </c>
      <c r="Q2" s="2">
        <v>16515.400000000001</v>
      </c>
      <c r="R2" s="2" t="s">
        <v>38</v>
      </c>
      <c r="S2" s="2">
        <v>2147</v>
      </c>
      <c r="T2" s="2">
        <v>18662.400000000001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41</v>
      </c>
      <c r="Z2" s="2" t="s">
        <v>43</v>
      </c>
      <c r="AA2" s="2"/>
    </row>
    <row r="3" spans="1:27" ht="14.4">
      <c r="A3" s="2" t="s">
        <v>44</v>
      </c>
      <c r="B3" s="2" t="s">
        <v>28</v>
      </c>
      <c r="C3" s="2" t="s">
        <v>28</v>
      </c>
      <c r="D3" s="2" t="s">
        <v>45</v>
      </c>
      <c r="E3" s="2" t="s">
        <v>30</v>
      </c>
      <c r="F3" s="2" t="s">
        <v>31</v>
      </c>
      <c r="G3" s="2" t="s">
        <v>46</v>
      </c>
      <c r="H3" s="2" t="s">
        <v>47</v>
      </c>
      <c r="I3" s="2" t="s">
        <v>48</v>
      </c>
      <c r="J3" s="2" t="s">
        <v>35</v>
      </c>
      <c r="K3" s="2" t="s">
        <v>28</v>
      </c>
      <c r="L3" s="2" t="s">
        <v>49</v>
      </c>
      <c r="M3" s="2"/>
      <c r="N3" s="2" t="s">
        <v>50</v>
      </c>
      <c r="O3" s="3">
        <v>966</v>
      </c>
      <c r="P3" s="3">
        <v>5.6560215467488</v>
      </c>
      <c r="Q3" s="2">
        <v>5463.72</v>
      </c>
      <c r="R3" s="2" t="s">
        <v>38</v>
      </c>
      <c r="S3" s="2">
        <v>710.28</v>
      </c>
      <c r="T3" s="2">
        <v>6174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41</v>
      </c>
      <c r="Z3" s="2" t="s">
        <v>43</v>
      </c>
      <c r="AA3" s="2"/>
    </row>
    <row r="4" spans="1:27" ht="14.4">
      <c r="A4" s="2" t="s">
        <v>51</v>
      </c>
      <c r="B4" s="2" t="s">
        <v>28</v>
      </c>
      <c r="C4" s="2" t="s">
        <v>28</v>
      </c>
      <c r="D4" s="2" t="s">
        <v>52</v>
      </c>
      <c r="E4" s="2" t="s">
        <v>30</v>
      </c>
      <c r="F4" s="2" t="s">
        <v>31</v>
      </c>
      <c r="G4" s="2" t="s">
        <v>53</v>
      </c>
      <c r="H4" s="2" t="s">
        <v>54</v>
      </c>
      <c r="I4" s="2" t="s">
        <v>55</v>
      </c>
      <c r="J4" s="2" t="s">
        <v>35</v>
      </c>
      <c r="K4" s="2" t="s">
        <v>28</v>
      </c>
      <c r="L4" s="2" t="s">
        <v>56</v>
      </c>
      <c r="M4" s="2"/>
      <c r="N4" s="2" t="s">
        <v>57</v>
      </c>
      <c r="O4" s="3">
        <v>40420.120000000003</v>
      </c>
      <c r="P4" s="3">
        <v>7.8040102305485997</v>
      </c>
      <c r="Q4" s="2">
        <v>315439.03000000003</v>
      </c>
      <c r="R4" s="2" t="s">
        <v>38</v>
      </c>
      <c r="S4" s="2">
        <v>41007.07</v>
      </c>
      <c r="T4" s="2">
        <v>356446.1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41</v>
      </c>
      <c r="Z4" s="2" t="s">
        <v>43</v>
      </c>
      <c r="AA4" s="2" t="s">
        <v>58</v>
      </c>
    </row>
    <row r="5" spans="1:27" ht="14.4">
      <c r="A5" s="2" t="s">
        <v>59</v>
      </c>
      <c r="B5" s="2" t="s">
        <v>28</v>
      </c>
      <c r="C5" s="2" t="s">
        <v>28</v>
      </c>
      <c r="D5" s="2" t="s">
        <v>60</v>
      </c>
      <c r="E5" s="2" t="s">
        <v>30</v>
      </c>
      <c r="F5" s="2" t="s">
        <v>31</v>
      </c>
      <c r="G5" s="2" t="s">
        <v>53</v>
      </c>
      <c r="H5" s="2" t="s">
        <v>54</v>
      </c>
      <c r="I5" s="2" t="s">
        <v>61</v>
      </c>
      <c r="J5" s="2" t="s">
        <v>35</v>
      </c>
      <c r="K5" s="2" t="s">
        <v>28</v>
      </c>
      <c r="L5" s="2" t="s">
        <v>56</v>
      </c>
      <c r="M5" s="2"/>
      <c r="N5" s="2" t="s">
        <v>57</v>
      </c>
      <c r="O5" s="3">
        <v>39755.65</v>
      </c>
      <c r="P5" s="3">
        <v>7.5926898440850996</v>
      </c>
      <c r="Q5" s="2">
        <v>301852.32</v>
      </c>
      <c r="R5" s="2" t="s">
        <v>38</v>
      </c>
      <c r="S5" s="2">
        <v>39240.800000000003</v>
      </c>
      <c r="T5" s="2">
        <v>341093.12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41</v>
      </c>
      <c r="Z5" s="2" t="s">
        <v>43</v>
      </c>
      <c r="AA5" s="2" t="s">
        <v>62</v>
      </c>
    </row>
    <row r="6" spans="1:27" ht="14.4">
      <c r="A6" s="2" t="s">
        <v>63</v>
      </c>
      <c r="B6" s="2" t="s">
        <v>28</v>
      </c>
      <c r="C6" s="2" t="s">
        <v>28</v>
      </c>
      <c r="D6" s="2" t="s">
        <v>64</v>
      </c>
      <c r="E6" s="2" t="s">
        <v>30</v>
      </c>
      <c r="F6" s="2" t="s">
        <v>31</v>
      </c>
      <c r="G6" s="2" t="s">
        <v>65</v>
      </c>
      <c r="H6" s="2" t="s">
        <v>66</v>
      </c>
      <c r="I6" s="2" t="s">
        <v>67</v>
      </c>
      <c r="J6" s="2" t="s">
        <v>35</v>
      </c>
      <c r="K6" s="2" t="s">
        <v>28</v>
      </c>
      <c r="L6" s="2" t="s">
        <v>36</v>
      </c>
      <c r="M6" s="2"/>
      <c r="N6" s="2" t="s">
        <v>37</v>
      </c>
      <c r="O6" s="3">
        <v>34000</v>
      </c>
      <c r="P6" s="3">
        <v>3.4287610619468998</v>
      </c>
      <c r="Q6" s="2">
        <v>116577.88</v>
      </c>
      <c r="R6" s="2" t="s">
        <v>38</v>
      </c>
      <c r="S6" s="2">
        <v>15155.12</v>
      </c>
      <c r="T6" s="2">
        <v>131733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41</v>
      </c>
      <c r="Z6" s="2" t="s">
        <v>43</v>
      </c>
      <c r="AA6" s="2"/>
    </row>
    <row r="7" spans="1:27" ht="14.4">
      <c r="A7" s="2" t="s">
        <v>68</v>
      </c>
      <c r="B7" s="2" t="s">
        <v>28</v>
      </c>
      <c r="C7" s="2" t="s">
        <v>28</v>
      </c>
      <c r="D7" s="2" t="s">
        <v>69</v>
      </c>
      <c r="E7" s="2" t="s">
        <v>30</v>
      </c>
      <c r="F7" s="2" t="s">
        <v>31</v>
      </c>
      <c r="G7" s="2" t="s">
        <v>70</v>
      </c>
      <c r="H7" s="2" t="s">
        <v>71</v>
      </c>
      <c r="I7" s="2" t="s">
        <v>72</v>
      </c>
      <c r="J7" s="2" t="s">
        <v>35</v>
      </c>
      <c r="K7" s="2" t="s">
        <v>28</v>
      </c>
      <c r="L7" s="2" t="s">
        <v>36</v>
      </c>
      <c r="M7" s="2"/>
      <c r="N7" s="2" t="s">
        <v>50</v>
      </c>
      <c r="O7" s="3">
        <v>16590</v>
      </c>
      <c r="P7" s="3">
        <v>4.783348536009</v>
      </c>
      <c r="Q7" s="2">
        <v>79355.75</v>
      </c>
      <c r="R7" s="2" t="s">
        <v>38</v>
      </c>
      <c r="S7" s="2">
        <v>10316.25</v>
      </c>
      <c r="T7" s="2">
        <v>89672</v>
      </c>
      <c r="U7" s="2" t="s">
        <v>39</v>
      </c>
      <c r="V7" s="2" t="s">
        <v>40</v>
      </c>
      <c r="W7" s="2" t="s">
        <v>41</v>
      </c>
      <c r="X7" s="2" t="s">
        <v>42</v>
      </c>
      <c r="Y7" s="2" t="s">
        <v>41</v>
      </c>
      <c r="Z7" s="2" t="s">
        <v>43</v>
      </c>
      <c r="AA7" s="2"/>
    </row>
    <row r="8" spans="1:27" ht="14.4">
      <c r="A8" s="2" t="s">
        <v>73</v>
      </c>
      <c r="B8" s="2" t="s">
        <v>28</v>
      </c>
      <c r="C8" s="2" t="s">
        <v>28</v>
      </c>
      <c r="D8" s="2" t="s">
        <v>74</v>
      </c>
      <c r="E8" s="2" t="s">
        <v>30</v>
      </c>
      <c r="F8" s="2" t="s">
        <v>31</v>
      </c>
      <c r="G8" s="2" t="s">
        <v>75</v>
      </c>
      <c r="H8" s="2" t="s">
        <v>76</v>
      </c>
      <c r="I8" s="2" t="s">
        <v>77</v>
      </c>
      <c r="J8" s="2" t="s">
        <v>35</v>
      </c>
      <c r="K8" s="2" t="s">
        <v>28</v>
      </c>
      <c r="L8" s="2" t="s">
        <v>36</v>
      </c>
      <c r="M8" s="2"/>
      <c r="N8" s="2" t="s">
        <v>37</v>
      </c>
      <c r="O8" s="3">
        <v>1494</v>
      </c>
      <c r="P8" s="3">
        <v>4.7529350440108997</v>
      </c>
      <c r="Q8" s="2">
        <v>7100.88</v>
      </c>
      <c r="R8" s="2" t="s">
        <v>38</v>
      </c>
      <c r="S8" s="2">
        <v>923.12</v>
      </c>
      <c r="T8" s="2">
        <v>8024</v>
      </c>
      <c r="U8" s="2" t="s">
        <v>39</v>
      </c>
      <c r="V8" s="2" t="s">
        <v>40</v>
      </c>
      <c r="W8" s="2" t="s">
        <v>41</v>
      </c>
      <c r="X8" s="2" t="s">
        <v>42</v>
      </c>
      <c r="Y8" s="2" t="s">
        <v>41</v>
      </c>
      <c r="Z8" s="2" t="s">
        <v>43</v>
      </c>
      <c r="AA8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selection activeCell="K9" sqref="K9"/>
    </sheetView>
  </sheetViews>
  <sheetFormatPr defaultRowHeight="13.8"/>
  <cols>
    <col min="1" max="1" width="7.5546875" bestFit="1" customWidth="1"/>
    <col min="2" max="3" width="12.6640625" bestFit="1" customWidth="1"/>
    <col min="4" max="4" width="22.6640625" bestFit="1" customWidth="1"/>
    <col min="5" max="5" width="24.44140625" bestFit="1" customWidth="1"/>
    <col min="6" max="6" width="31.44140625" bestFit="1" customWidth="1"/>
    <col min="7" max="7" width="22.6640625" bestFit="1" customWidth="1"/>
    <col min="8" max="8" width="42.44140625" bestFit="1" customWidth="1"/>
    <col min="9" max="9" width="19.21875" bestFit="1" customWidth="1"/>
    <col min="10" max="11" width="10.5546875" bestFit="1" customWidth="1"/>
    <col min="12" max="12" width="12.6640625" bestFit="1" customWidth="1"/>
    <col min="13" max="13" width="18.33203125" bestFit="1" customWidth="1"/>
    <col min="14" max="14" width="29.21875" bestFit="1" customWidth="1"/>
    <col min="15" max="15" width="12.6640625" bestFit="1" customWidth="1"/>
    <col min="16" max="17" width="18.5546875" bestFit="1" customWidth="1"/>
    <col min="18" max="18" width="9.77734375" bestFit="1" customWidth="1"/>
    <col min="19" max="19" width="20.109375" bestFit="1" customWidth="1"/>
  </cols>
  <sheetData>
    <row r="1" spans="1:19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14.4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16515.400000000001</v>
      </c>
      <c r="K2" s="2">
        <v>2147</v>
      </c>
      <c r="L2" s="2">
        <v>18662.400000000001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41</v>
      </c>
      <c r="R2" s="2" t="s">
        <v>43</v>
      </c>
      <c r="S2" s="2"/>
    </row>
    <row r="3" spans="1:19" ht="14.4">
      <c r="A3" s="2" t="s">
        <v>44</v>
      </c>
      <c r="B3" s="2" t="s">
        <v>28</v>
      </c>
      <c r="C3" s="2" t="s">
        <v>28</v>
      </c>
      <c r="D3" s="2" t="s">
        <v>45</v>
      </c>
      <c r="E3" s="2" t="s">
        <v>30</v>
      </c>
      <c r="F3" s="2" t="s">
        <v>31</v>
      </c>
      <c r="G3" s="2" t="s">
        <v>46</v>
      </c>
      <c r="H3" s="2" t="s">
        <v>47</v>
      </c>
      <c r="I3" s="2" t="s">
        <v>48</v>
      </c>
      <c r="J3" s="2">
        <v>5463.72</v>
      </c>
      <c r="K3" s="2">
        <v>710.28</v>
      </c>
      <c r="L3" s="2">
        <v>6174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41</v>
      </c>
      <c r="R3" s="2" t="s">
        <v>43</v>
      </c>
      <c r="S3" s="2"/>
    </row>
    <row r="4" spans="1:19" ht="14.4">
      <c r="A4" s="2" t="s">
        <v>51</v>
      </c>
      <c r="B4" s="2" t="s">
        <v>28</v>
      </c>
      <c r="C4" s="2" t="s">
        <v>28</v>
      </c>
      <c r="D4" s="2" t="s">
        <v>52</v>
      </c>
      <c r="E4" s="2" t="s">
        <v>30</v>
      </c>
      <c r="F4" s="2" t="s">
        <v>31</v>
      </c>
      <c r="G4" s="2" t="s">
        <v>53</v>
      </c>
      <c r="H4" s="2" t="s">
        <v>54</v>
      </c>
      <c r="I4" s="2" t="s">
        <v>55</v>
      </c>
      <c r="J4" s="2">
        <v>315439.03000000003</v>
      </c>
      <c r="K4" s="2">
        <v>41007.07</v>
      </c>
      <c r="L4" s="2">
        <v>356446.1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41</v>
      </c>
      <c r="R4" s="2" t="s">
        <v>43</v>
      </c>
      <c r="S4" s="2" t="s">
        <v>58</v>
      </c>
    </row>
    <row r="5" spans="1:19" ht="14.4">
      <c r="A5" s="2" t="s">
        <v>59</v>
      </c>
      <c r="B5" s="2" t="s">
        <v>28</v>
      </c>
      <c r="C5" s="2" t="s">
        <v>28</v>
      </c>
      <c r="D5" s="2" t="s">
        <v>60</v>
      </c>
      <c r="E5" s="2" t="s">
        <v>30</v>
      </c>
      <c r="F5" s="2" t="s">
        <v>31</v>
      </c>
      <c r="G5" s="2" t="s">
        <v>53</v>
      </c>
      <c r="H5" s="2" t="s">
        <v>54</v>
      </c>
      <c r="I5" s="2" t="s">
        <v>61</v>
      </c>
      <c r="J5" s="2">
        <v>301852.32</v>
      </c>
      <c r="K5" s="2">
        <v>39240.800000000003</v>
      </c>
      <c r="L5" s="2">
        <v>341093.12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41</v>
      </c>
      <c r="R5" s="2" t="s">
        <v>43</v>
      </c>
      <c r="S5" s="2" t="s">
        <v>62</v>
      </c>
    </row>
    <row r="6" spans="1:19" ht="14.4">
      <c r="A6" s="2" t="s">
        <v>63</v>
      </c>
      <c r="B6" s="2" t="s">
        <v>28</v>
      </c>
      <c r="C6" s="2" t="s">
        <v>28</v>
      </c>
      <c r="D6" s="2" t="s">
        <v>64</v>
      </c>
      <c r="E6" s="2" t="s">
        <v>30</v>
      </c>
      <c r="F6" s="2" t="s">
        <v>31</v>
      </c>
      <c r="G6" s="2" t="s">
        <v>65</v>
      </c>
      <c r="H6" s="2" t="s">
        <v>66</v>
      </c>
      <c r="I6" s="2" t="s">
        <v>67</v>
      </c>
      <c r="J6" s="2">
        <v>116577.88</v>
      </c>
      <c r="K6" s="2">
        <v>15155.12</v>
      </c>
      <c r="L6" s="2">
        <v>131733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41</v>
      </c>
      <c r="R6" s="2" t="s">
        <v>43</v>
      </c>
      <c r="S6" s="2"/>
    </row>
    <row r="7" spans="1:19" ht="14.4">
      <c r="A7" s="2" t="s">
        <v>68</v>
      </c>
      <c r="B7" s="2" t="s">
        <v>28</v>
      </c>
      <c r="C7" s="2" t="s">
        <v>28</v>
      </c>
      <c r="D7" s="2" t="s">
        <v>69</v>
      </c>
      <c r="E7" s="2" t="s">
        <v>30</v>
      </c>
      <c r="F7" s="2" t="s">
        <v>31</v>
      </c>
      <c r="G7" s="2" t="s">
        <v>70</v>
      </c>
      <c r="H7" s="2" t="s">
        <v>71</v>
      </c>
      <c r="I7" s="2" t="s">
        <v>72</v>
      </c>
      <c r="J7" s="2">
        <v>79355.75</v>
      </c>
      <c r="K7" s="2">
        <v>10316.25</v>
      </c>
      <c r="L7" s="2">
        <v>89672</v>
      </c>
      <c r="M7" s="2" t="s">
        <v>39</v>
      </c>
      <c r="N7" s="2" t="s">
        <v>40</v>
      </c>
      <c r="O7" s="2" t="s">
        <v>41</v>
      </c>
      <c r="P7" s="2" t="s">
        <v>42</v>
      </c>
      <c r="Q7" s="2" t="s">
        <v>41</v>
      </c>
      <c r="R7" s="2" t="s">
        <v>43</v>
      </c>
      <c r="S7" s="2"/>
    </row>
    <row r="8" spans="1:19" ht="14.4">
      <c r="A8" s="2" t="s">
        <v>73</v>
      </c>
      <c r="B8" s="2" t="s">
        <v>28</v>
      </c>
      <c r="C8" s="2" t="s">
        <v>28</v>
      </c>
      <c r="D8" s="2" t="s">
        <v>74</v>
      </c>
      <c r="E8" s="2" t="s">
        <v>30</v>
      </c>
      <c r="F8" s="2" t="s">
        <v>31</v>
      </c>
      <c r="G8" s="2" t="s">
        <v>75</v>
      </c>
      <c r="H8" s="2" t="s">
        <v>76</v>
      </c>
      <c r="I8" s="2" t="s">
        <v>77</v>
      </c>
      <c r="J8" s="2">
        <v>7100.88</v>
      </c>
      <c r="K8" s="2">
        <v>923.12</v>
      </c>
      <c r="L8" s="2">
        <v>8024</v>
      </c>
      <c r="M8" s="2" t="s">
        <v>39</v>
      </c>
      <c r="N8" s="2" t="s">
        <v>40</v>
      </c>
      <c r="O8" s="2" t="s">
        <v>41</v>
      </c>
      <c r="P8" s="2" t="s">
        <v>42</v>
      </c>
      <c r="Q8" s="2" t="s">
        <v>41</v>
      </c>
      <c r="R8" s="2" t="s">
        <v>43</v>
      </c>
      <c r="S8" s="2"/>
    </row>
    <row r="9" spans="1:19" ht="14.4">
      <c r="A9" s="2" t="s">
        <v>78</v>
      </c>
      <c r="B9" s="2"/>
      <c r="C9" s="2"/>
      <c r="D9" s="2"/>
      <c r="E9" s="2"/>
      <c r="F9" s="2"/>
      <c r="G9" s="2"/>
      <c r="H9" s="2"/>
      <c r="I9" s="2"/>
      <c r="J9" s="2">
        <v>842304.98</v>
      </c>
      <c r="K9" s="2">
        <v>109499.64</v>
      </c>
      <c r="L9" s="2"/>
      <c r="M9" s="2"/>
      <c r="N9" s="2"/>
      <c r="O9" s="2"/>
      <c r="P9" s="2"/>
      <c r="Q9" s="2"/>
      <c r="R9" s="2"/>
      <c r="S9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C8B7-94F2-499D-9810-FC39EA68A607}">
  <dimension ref="C2:O11"/>
  <sheetViews>
    <sheetView tabSelected="1" zoomScale="175" zoomScaleNormal="175" workbookViewId="0">
      <selection activeCell="M3" sqref="M3:M5"/>
    </sheetView>
  </sheetViews>
  <sheetFormatPr defaultRowHeight="13.8"/>
  <cols>
    <col min="3" max="3" width="9.5546875" bestFit="1" customWidth="1"/>
    <col min="4" max="4" width="20.44140625" bestFit="1" customWidth="1"/>
    <col min="5" max="5" width="9.5546875" bestFit="1" customWidth="1"/>
    <col min="6" max="6" width="5.5546875" bestFit="1" customWidth="1"/>
    <col min="7" max="7" width="9.5546875" bestFit="1" customWidth="1"/>
    <col min="8" max="8" width="5.5546875" bestFit="1" customWidth="1"/>
    <col min="9" max="9" width="10.109375" bestFit="1" customWidth="1"/>
    <col min="11" max="11" width="10.44140625" bestFit="1" customWidth="1"/>
    <col min="12" max="13" width="5.5546875" bestFit="1" customWidth="1"/>
    <col min="14" max="15" width="12.21875" bestFit="1" customWidth="1"/>
  </cols>
  <sheetData>
    <row r="2" spans="3:15">
      <c r="C2" t="s">
        <v>81</v>
      </c>
      <c r="D2" t="s">
        <v>79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L2" t="s">
        <v>80</v>
      </c>
      <c r="M2" t="s">
        <v>13</v>
      </c>
      <c r="N2" t="s">
        <v>88</v>
      </c>
      <c r="O2" t="s">
        <v>89</v>
      </c>
    </row>
    <row r="3" spans="3:15">
      <c r="C3" t="s">
        <v>84</v>
      </c>
      <c r="D3" t="s">
        <v>82</v>
      </c>
      <c r="F3" t="s">
        <v>37</v>
      </c>
      <c r="G3">
        <v>1866</v>
      </c>
      <c r="H3" s="4">
        <v>8.8506957288790993</v>
      </c>
      <c r="I3" s="4">
        <v>16515.400000000001</v>
      </c>
      <c r="K3" t="s">
        <v>90</v>
      </c>
      <c r="L3" t="s">
        <v>85</v>
      </c>
      <c r="M3" t="s">
        <v>50</v>
      </c>
      <c r="N3">
        <v>966</v>
      </c>
      <c r="O3">
        <v>5463.72</v>
      </c>
    </row>
    <row r="4" spans="3:15">
      <c r="C4" t="s">
        <v>85</v>
      </c>
      <c r="D4" t="s">
        <v>49</v>
      </c>
      <c r="F4" t="s">
        <v>50</v>
      </c>
      <c r="G4">
        <v>966</v>
      </c>
      <c r="H4" s="4">
        <v>5.6560215467488</v>
      </c>
      <c r="I4" s="4">
        <v>5463.72</v>
      </c>
      <c r="K4" t="s">
        <v>91</v>
      </c>
      <c r="L4" t="s">
        <v>83</v>
      </c>
      <c r="M4" t="s">
        <v>37</v>
      </c>
      <c r="N4">
        <v>37360</v>
      </c>
      <c r="O4">
        <v>140194.16</v>
      </c>
    </row>
    <row r="5" spans="3:15">
      <c r="C5" t="s">
        <v>83</v>
      </c>
      <c r="D5" t="s">
        <v>36</v>
      </c>
      <c r="F5" t="s">
        <v>37</v>
      </c>
      <c r="G5">
        <v>34000</v>
      </c>
      <c r="H5" s="4">
        <v>3.4287610619468998</v>
      </c>
      <c r="I5" s="4">
        <v>116577.88</v>
      </c>
      <c r="K5" t="s">
        <v>92</v>
      </c>
      <c r="L5" t="s">
        <v>83</v>
      </c>
      <c r="M5" t="s">
        <v>50</v>
      </c>
      <c r="N5">
        <v>16590</v>
      </c>
      <c r="O5">
        <v>79355.75</v>
      </c>
    </row>
    <row r="6" spans="3:15">
      <c r="C6" t="s">
        <v>83</v>
      </c>
      <c r="D6" t="s">
        <v>36</v>
      </c>
      <c r="F6" t="s">
        <v>50</v>
      </c>
      <c r="G6">
        <v>16590</v>
      </c>
      <c r="H6" s="4">
        <v>4.783348536009</v>
      </c>
      <c r="I6" s="4">
        <v>79355.75</v>
      </c>
      <c r="L6" t="s">
        <v>87</v>
      </c>
      <c r="N6">
        <v>54916</v>
      </c>
      <c r="O6">
        <v>225013.63</v>
      </c>
    </row>
    <row r="7" spans="3:15">
      <c r="C7" t="s">
        <v>83</v>
      </c>
      <c r="D7" t="s">
        <v>36</v>
      </c>
      <c r="F7" t="s">
        <v>37</v>
      </c>
      <c r="G7">
        <v>1494</v>
      </c>
      <c r="H7" s="4">
        <v>4.7529350440108997</v>
      </c>
      <c r="I7" s="4">
        <v>7100.88</v>
      </c>
    </row>
    <row r="9" spans="3:15">
      <c r="C9" t="s">
        <v>86</v>
      </c>
      <c r="D9" t="s">
        <v>56</v>
      </c>
      <c r="F9" t="s">
        <v>57</v>
      </c>
      <c r="G9">
        <v>40420.120000000003</v>
      </c>
      <c r="H9" s="4">
        <v>7.8040102305485997</v>
      </c>
      <c r="I9" s="4">
        <v>315439.03000000003</v>
      </c>
    </row>
    <row r="10" spans="3:15">
      <c r="C10" t="s">
        <v>86</v>
      </c>
      <c r="D10" t="s">
        <v>56</v>
      </c>
      <c r="F10" t="s">
        <v>57</v>
      </c>
      <c r="G10">
        <v>39755.65</v>
      </c>
      <c r="H10" s="4">
        <v>7.5926898440850996</v>
      </c>
      <c r="I10" s="4">
        <v>301852.32</v>
      </c>
    </row>
    <row r="11" spans="3:15">
      <c r="G11">
        <f>SUM(G9:G10)</f>
        <v>80175.77</v>
      </c>
      <c r="I11" s="4">
        <f>SUM(I9:I10)</f>
        <v>617291.35000000009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信息汇总表</vt:lpstr>
      <vt:lpstr>发票基础信息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JX</cp:lastModifiedBy>
  <dcterms:created xsi:type="dcterms:W3CDTF">2026-01-10T14:46:45Z</dcterms:created>
  <dcterms:modified xsi:type="dcterms:W3CDTF">2026-01-10T15:58:32Z</dcterms:modified>
</cp:coreProperties>
</file>