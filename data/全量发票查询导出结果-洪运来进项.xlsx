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X\Desktop\"/>
    </mc:Choice>
  </mc:AlternateContent>
  <xr:revisionPtr revIDLastSave="0" documentId="13_ncr:1_{FBC1CB8D-8B15-4F94-A0A9-53738132D2D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信息汇总表" sheetId="1" r:id="rId1"/>
    <sheet name="发票基础信息" sheetId="2" r:id="rId2"/>
  </sheets>
  <calcPr calcId="181029"/>
</workbook>
</file>

<file path=xl/calcChain.xml><?xml version="1.0" encoding="utf-8"?>
<calcChain xmlns="http://schemas.openxmlformats.org/spreadsheetml/2006/main">
  <c r="Q9" i="1" l="1"/>
  <c r="O9" i="1"/>
</calcChain>
</file>

<file path=xl/sharedStrings.xml><?xml version="1.0" encoding="utf-8"?>
<sst xmlns="http://schemas.openxmlformats.org/spreadsheetml/2006/main" count="293" uniqueCount="90">
  <si>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</si>
  <si>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</si>
  <si>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</si>
  <si>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</si>
  <si>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</si>
  <si>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</si>
  <si>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</si>
  <si>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</si>
  <si>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</si>
  <si>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</si>
  <si>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</si>
  <si>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</si>
  <si>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</si>
  <si>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</si>
  <si>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</si>
  <si>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</si>
  <si>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</si>
  <si>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</si>
  <si>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</si>
  <si>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</si>
  <si>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</si>
  <si>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</si>
  <si>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</si>
  <si>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</si>
  <si>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</si>
  <si>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</si>
  <si>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</si>
  <si>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</si>
  <si>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</si>
  <si>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25442000000841869450</t>
  </si>
  <si>
    <t>91445200752094716B</t>
  </si>
  <si>
    <t>揭阳市圣得固五金制品有限公司</t>
  </si>
  <si>
    <t>92445200MA4WWMM404</t>
  </si>
  <si>
    <t>揭阳市揭东区磐东洪运来机械厂</t>
  </si>
  <si>
    <t>2025-12-30 16:42:08</t>
  </si>
  <si>
    <t>1080207090000000000</t>
  </si>
  <si>
    <t>*黑色金属冶炼压延品*冷轧带钢</t>
  </si>
  <si>
    <t>吨</t>
  </si>
  <si>
    <t>13%</t>
  </si>
  <si>
    <t>电子发票服务平台</t>
  </si>
  <si>
    <t>数电发票（增值税专用发票）</t>
  </si>
  <si>
    <t>正常</t>
  </si>
  <si>
    <t>是</t>
  </si>
  <si>
    <t>陈漫</t>
  </si>
  <si>
    <t>2</t>
  </si>
  <si>
    <t>25442000000836084709</t>
  </si>
  <si>
    <t>91445221MAE2GLNG60</t>
  </si>
  <si>
    <t>揭阳市博盛金属有限公司</t>
  </si>
  <si>
    <t>2025-12-29 12:08:28</t>
  </si>
  <si>
    <t>1080207100000000000</t>
  </si>
  <si>
    <t>*黑色金属冶炼压延品*钢带</t>
  </si>
  <si>
    <t>周晴</t>
  </si>
  <si>
    <t>3</t>
  </si>
  <si>
    <t>25442000000828250236</t>
  </si>
  <si>
    <t>914452036904507290</t>
  </si>
  <si>
    <t>揭阳市裕丰工贸有限公司</t>
  </si>
  <si>
    <t>2025-12-26 10:14:30</t>
  </si>
  <si>
    <t>1080207020000000000</t>
  </si>
  <si>
    <t>1.1</t>
  </si>
  <si>
    <t>陈燕娜</t>
  </si>
  <si>
    <t>4</t>
  </si>
  <si>
    <t>25442000000820870772</t>
  </si>
  <si>
    <t>2025-12-24 10:19:45</t>
  </si>
  <si>
    <t>5</t>
  </si>
  <si>
    <t>25442000000808276206</t>
  </si>
  <si>
    <t>91445221MA7E5AG25J</t>
  </si>
  <si>
    <t>揭阳市隆宇钢珠有限公司</t>
  </si>
  <si>
    <t>2025-12-19 14:50:32</t>
  </si>
  <si>
    <t>1080207990000000000</t>
  </si>
  <si>
    <t>*黑色金属冶炼压延品*钢珠</t>
  </si>
  <si>
    <t>千克</t>
  </si>
  <si>
    <t>江涛</t>
  </si>
  <si>
    <t>6</t>
  </si>
  <si>
    <t>25442000000777843444</t>
  </si>
  <si>
    <t>91445200323274671L</t>
  </si>
  <si>
    <t>揭阳市合联纸业有限公司</t>
  </si>
  <si>
    <t>2025-12-08 18:49:40</t>
  </si>
  <si>
    <t>1060105010000000000</t>
  </si>
  <si>
    <t>*纸制品*纸箱</t>
  </si>
  <si>
    <t>个</t>
  </si>
  <si>
    <t>陈子泓</t>
  </si>
  <si>
    <t>7</t>
  </si>
  <si>
    <t>25442000000758488020</t>
  </si>
  <si>
    <t>91445200MA56B3CU1N</t>
  </si>
  <si>
    <t>揭阳市立智塑料五金制品有限公司</t>
  </si>
  <si>
    <t>2025-12-01 15:51:33</t>
  </si>
  <si>
    <t>1070601990000000000</t>
  </si>
  <si>
    <t>*塑料制品*滑轨塑料配件</t>
  </si>
  <si>
    <t>套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</si>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</sst>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topLeftCell="E1" workbookViewId="0">
      <selection activeCell="Q9" sqref="Q9"/>
    </sheetView>
  </sheetViews>
  <sheetFormatPr defaultRowHeight="13.8"/>
  <cols>
    <col min="1" max="1" width="7.109375" bestFit="1" customWidth="1"/>
    <col min="2" max="3" width="12.6640625" bestFit="1" customWidth="1"/>
    <col min="4" max="4" width="22.6640625" bestFit="1" customWidth="1"/>
    <col min="5" max="5" width="22.33203125" bestFit="1" customWidth="1"/>
    <col min="6" max="6" width="33.6640625" bestFit="1" customWidth="1"/>
    <col min="7" max="7" width="24.44140625" bestFit="1" customWidth="1"/>
    <col min="8" max="8" width="31.44140625" bestFit="1" customWidth="1"/>
    <col min="9" max="9" width="19.21875" bestFit="1" customWidth="1"/>
    <col min="10" max="10" width="21.5546875" bestFit="1" customWidth="1"/>
    <col min="11" max="11" width="18.5546875" bestFit="1" customWidth="1"/>
    <col min="12" max="12" width="31.44140625" bestFit="1" customWidth="1"/>
    <col min="13" max="13" width="12.6640625" bestFit="1" customWidth="1"/>
    <col min="14" max="14" width="7.109375" bestFit="1" customWidth="1"/>
    <col min="15" max="15" width="9.109375" bestFit="1" customWidth="1"/>
    <col min="16" max="16" width="17.77734375" bestFit="1" customWidth="1"/>
    <col min="17" max="17" width="10.5546875" bestFit="1" customWidth="1"/>
    <col min="18" max="18" width="7.109375" bestFit="1" customWidth="1"/>
    <col min="19" max="19" width="9.5546875" bestFit="1" customWidth="1"/>
    <col min="20" max="20" width="12.6640625" bestFit="1" customWidth="1"/>
    <col min="21" max="21" width="18.33203125" bestFit="1" customWidth="1"/>
    <col min="22" max="22" width="29.21875" bestFit="1" customWidth="1"/>
    <col min="23" max="23" width="12.6640625" bestFit="1" customWidth="1"/>
    <col min="24" max="25" width="18.5546875" bestFit="1" customWidth="1"/>
    <col min="26" max="26" width="9.77734375" bestFit="1" customWidth="1"/>
    <col min="27" max="27" width="7.109375" bestFit="1" customWidth="1"/>
  </cols>
  <sheetData>
    <row r="1" spans="1:27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4.4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/>
      <c r="N2" s="2" t="s">
        <v>37</v>
      </c>
      <c r="O2" s="4">
        <v>153.83699999999999</v>
      </c>
      <c r="P2" s="4">
        <v>3154.8793082391999</v>
      </c>
      <c r="Q2" s="2">
        <v>485337.17</v>
      </c>
      <c r="R2" s="2" t="s">
        <v>38</v>
      </c>
      <c r="S2" s="2">
        <v>63093.83</v>
      </c>
      <c r="T2" s="2">
        <v>548431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41</v>
      </c>
      <c r="Z2" s="2" t="s">
        <v>43</v>
      </c>
      <c r="AA2" s="2"/>
    </row>
    <row r="3" spans="1:27" ht="14.4">
      <c r="A3" s="2" t="s">
        <v>44</v>
      </c>
      <c r="B3" s="2" t="s">
        <v>28</v>
      </c>
      <c r="C3" s="2" t="s">
        <v>28</v>
      </c>
      <c r="D3" s="2" t="s">
        <v>45</v>
      </c>
      <c r="E3" s="2" t="s">
        <v>46</v>
      </c>
      <c r="F3" s="2" t="s">
        <v>47</v>
      </c>
      <c r="G3" s="2" t="s">
        <v>32</v>
      </c>
      <c r="H3" s="2" t="s">
        <v>33</v>
      </c>
      <c r="I3" s="2" t="s">
        <v>48</v>
      </c>
      <c r="J3" s="2" t="s">
        <v>49</v>
      </c>
      <c r="K3" s="2" t="s">
        <v>28</v>
      </c>
      <c r="L3" s="2" t="s">
        <v>50</v>
      </c>
      <c r="M3" s="2"/>
      <c r="N3" s="2" t="s">
        <v>37</v>
      </c>
      <c r="O3" s="4">
        <v>14.2</v>
      </c>
      <c r="P3" s="4">
        <v>3469.2135111554298</v>
      </c>
      <c r="Q3" s="2">
        <v>49262.83</v>
      </c>
      <c r="R3" s="2" t="s">
        <v>38</v>
      </c>
      <c r="S3" s="2">
        <v>6404.17</v>
      </c>
      <c r="T3" s="2">
        <v>55667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41</v>
      </c>
      <c r="Z3" s="2" t="s">
        <v>51</v>
      </c>
      <c r="AA3" s="2"/>
    </row>
    <row r="4" spans="1:27" ht="14.4">
      <c r="A4" s="2" t="s">
        <v>52</v>
      </c>
      <c r="B4" s="2" t="s">
        <v>28</v>
      </c>
      <c r="C4" s="2" t="s">
        <v>28</v>
      </c>
      <c r="D4" s="2" t="s">
        <v>53</v>
      </c>
      <c r="E4" s="2" t="s">
        <v>54</v>
      </c>
      <c r="F4" s="2" t="s">
        <v>55</v>
      </c>
      <c r="G4" s="2" t="s">
        <v>32</v>
      </c>
      <c r="H4" s="2" t="s">
        <v>33</v>
      </c>
      <c r="I4" s="2" t="s">
        <v>56</v>
      </c>
      <c r="J4" s="2" t="s">
        <v>57</v>
      </c>
      <c r="K4" s="2" t="s">
        <v>28</v>
      </c>
      <c r="L4" s="2" t="s">
        <v>36</v>
      </c>
      <c r="M4" s="2" t="s">
        <v>58</v>
      </c>
      <c r="N4" s="2" t="s">
        <v>37</v>
      </c>
      <c r="O4" s="4">
        <v>44.435000000000002</v>
      </c>
      <c r="P4" s="4">
        <v>3097.3949220846598</v>
      </c>
      <c r="Q4" s="2">
        <v>137632.74</v>
      </c>
      <c r="R4" s="2" t="s">
        <v>38</v>
      </c>
      <c r="S4" s="2">
        <v>17892.259999999998</v>
      </c>
      <c r="T4" s="2">
        <v>155525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41</v>
      </c>
      <c r="Z4" s="2" t="s">
        <v>59</v>
      </c>
      <c r="AA4" s="2"/>
    </row>
    <row r="5" spans="1:27" ht="14.4">
      <c r="A5" s="2" t="s">
        <v>60</v>
      </c>
      <c r="B5" s="2" t="s">
        <v>28</v>
      </c>
      <c r="C5" s="2" t="s">
        <v>28</v>
      </c>
      <c r="D5" s="2" t="s">
        <v>61</v>
      </c>
      <c r="E5" s="2" t="s">
        <v>46</v>
      </c>
      <c r="F5" s="2" t="s">
        <v>47</v>
      </c>
      <c r="G5" s="2" t="s">
        <v>32</v>
      </c>
      <c r="H5" s="2" t="s">
        <v>33</v>
      </c>
      <c r="I5" s="2" t="s">
        <v>62</v>
      </c>
      <c r="J5" s="2" t="s">
        <v>49</v>
      </c>
      <c r="K5" s="2" t="s">
        <v>28</v>
      </c>
      <c r="L5" s="2" t="s">
        <v>50</v>
      </c>
      <c r="M5" s="2"/>
      <c r="N5" s="2" t="s">
        <v>37</v>
      </c>
      <c r="O5" s="4">
        <v>18.23</v>
      </c>
      <c r="P5" s="4">
        <v>3469.1430540924998</v>
      </c>
      <c r="Q5" s="2">
        <v>63242.48</v>
      </c>
      <c r="R5" s="2" t="s">
        <v>38</v>
      </c>
      <c r="S5" s="2">
        <v>8221.52</v>
      </c>
      <c r="T5" s="2">
        <v>71464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41</v>
      </c>
      <c r="Z5" s="2" t="s">
        <v>51</v>
      </c>
      <c r="AA5" s="2"/>
    </row>
    <row r="6" spans="1:27" ht="14.4">
      <c r="A6" s="2" t="s">
        <v>63</v>
      </c>
      <c r="B6" s="2" t="s">
        <v>28</v>
      </c>
      <c r="C6" s="2" t="s">
        <v>28</v>
      </c>
      <c r="D6" s="2" t="s">
        <v>64</v>
      </c>
      <c r="E6" s="2" t="s">
        <v>65</v>
      </c>
      <c r="F6" s="2" t="s">
        <v>66</v>
      </c>
      <c r="G6" s="2" t="s">
        <v>32</v>
      </c>
      <c r="H6" s="2" t="s">
        <v>33</v>
      </c>
      <c r="I6" s="2" t="s">
        <v>67</v>
      </c>
      <c r="J6" s="2" t="s">
        <v>68</v>
      </c>
      <c r="K6" s="2" t="s">
        <v>28</v>
      </c>
      <c r="L6" s="2" t="s">
        <v>69</v>
      </c>
      <c r="M6" s="2"/>
      <c r="N6" s="2" t="s">
        <v>70</v>
      </c>
      <c r="O6" s="4">
        <v>6153.2309999999998</v>
      </c>
      <c r="P6" s="4">
        <v>5.7522121736510003</v>
      </c>
      <c r="Q6" s="2">
        <v>35394.69</v>
      </c>
      <c r="R6" s="2" t="s">
        <v>38</v>
      </c>
      <c r="S6" s="2">
        <v>4601.3100000000004</v>
      </c>
      <c r="T6" s="2">
        <v>39996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41</v>
      </c>
      <c r="Z6" s="2" t="s">
        <v>71</v>
      </c>
      <c r="AA6" s="2"/>
    </row>
    <row r="7" spans="1:27" ht="14.4">
      <c r="A7" s="2" t="s">
        <v>72</v>
      </c>
      <c r="B7" s="2" t="s">
        <v>28</v>
      </c>
      <c r="C7" s="2" t="s">
        <v>28</v>
      </c>
      <c r="D7" s="2" t="s">
        <v>73</v>
      </c>
      <c r="E7" s="2" t="s">
        <v>74</v>
      </c>
      <c r="F7" s="2" t="s">
        <v>75</v>
      </c>
      <c r="G7" s="2" t="s">
        <v>32</v>
      </c>
      <c r="H7" s="2" t="s">
        <v>33</v>
      </c>
      <c r="I7" s="2" t="s">
        <v>76</v>
      </c>
      <c r="J7" s="2" t="s">
        <v>77</v>
      </c>
      <c r="K7" s="2" t="s">
        <v>28</v>
      </c>
      <c r="L7" s="2" t="s">
        <v>78</v>
      </c>
      <c r="M7" s="2"/>
      <c r="N7" s="2" t="s">
        <v>79</v>
      </c>
      <c r="O7" s="4">
        <v>6532</v>
      </c>
      <c r="P7" s="4">
        <v>2.6548672566371998</v>
      </c>
      <c r="Q7" s="2">
        <v>17341.59</v>
      </c>
      <c r="R7" s="2" t="s">
        <v>38</v>
      </c>
      <c r="S7" s="2">
        <v>2254.41</v>
      </c>
      <c r="T7" s="2">
        <v>19596</v>
      </c>
      <c r="U7" s="2" t="s">
        <v>39</v>
      </c>
      <c r="V7" s="2" t="s">
        <v>40</v>
      </c>
      <c r="W7" s="2" t="s">
        <v>41</v>
      </c>
      <c r="X7" s="2" t="s">
        <v>42</v>
      </c>
      <c r="Y7" s="2" t="s">
        <v>41</v>
      </c>
      <c r="Z7" s="2" t="s">
        <v>80</v>
      </c>
      <c r="AA7" s="2"/>
    </row>
    <row r="8" spans="1:27" ht="14.4">
      <c r="A8" s="2" t="s">
        <v>81</v>
      </c>
      <c r="B8" s="2" t="s">
        <v>28</v>
      </c>
      <c r="C8" s="2" t="s">
        <v>28</v>
      </c>
      <c r="D8" s="2" t="s">
        <v>82</v>
      </c>
      <c r="E8" s="2" t="s">
        <v>83</v>
      </c>
      <c r="F8" s="2" t="s">
        <v>84</v>
      </c>
      <c r="G8" s="2" t="s">
        <v>32</v>
      </c>
      <c r="H8" s="2" t="s">
        <v>33</v>
      </c>
      <c r="I8" s="2" t="s">
        <v>85</v>
      </c>
      <c r="J8" s="2" t="s">
        <v>86</v>
      </c>
      <c r="K8" s="2" t="s">
        <v>28</v>
      </c>
      <c r="L8" s="2" t="s">
        <v>87</v>
      </c>
      <c r="M8" s="2"/>
      <c r="N8" s="2" t="s">
        <v>88</v>
      </c>
      <c r="O8" s="4">
        <v>45454</v>
      </c>
      <c r="P8" s="4">
        <v>0.48673150449489999</v>
      </c>
      <c r="Q8" s="2">
        <v>22123.89</v>
      </c>
      <c r="R8" s="2" t="s">
        <v>38</v>
      </c>
      <c r="S8" s="2">
        <v>2876.11</v>
      </c>
      <c r="T8" s="2">
        <v>25000</v>
      </c>
      <c r="U8" s="2" t="s">
        <v>39</v>
      </c>
      <c r="V8" s="2" t="s">
        <v>40</v>
      </c>
      <c r="W8" s="2" t="s">
        <v>41</v>
      </c>
      <c r="X8" s="2" t="s">
        <v>42</v>
      </c>
      <c r="Y8" s="2" t="s">
        <v>41</v>
      </c>
      <c r="Z8" s="2" t="s">
        <v>51</v>
      </c>
      <c r="AA8" s="2"/>
    </row>
    <row r="9" spans="1:27">
      <c r="O9">
        <f>SUM(O2:O8)</f>
        <v>58369.933000000005</v>
      </c>
      <c r="Q9">
        <f>SUM(Q2:Q8)</f>
        <v>810335.3899999999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"/>
  <sheetViews>
    <sheetView workbookViewId="0">
      <selection activeCell="K9" sqref="K9"/>
    </sheetView>
  </sheetViews>
  <sheetFormatPr defaultColWidth="10.109375" defaultRowHeight="13.8"/>
  <cols>
    <col min="1" max="1" width="7.5546875" bestFit="1" customWidth="1"/>
    <col min="2" max="3" width="12.6640625" bestFit="1" customWidth="1"/>
    <col min="4" max="4" width="22.6640625" bestFit="1" customWidth="1"/>
    <col min="5" max="5" width="22.33203125" bestFit="1" customWidth="1"/>
    <col min="6" max="6" width="33.6640625" bestFit="1" customWidth="1"/>
    <col min="7" max="7" width="24.44140625" bestFit="1" customWidth="1"/>
    <col min="8" max="8" width="31.44140625" bestFit="1" customWidth="1"/>
    <col min="9" max="9" width="19.21875" bestFit="1" customWidth="1"/>
    <col min="10" max="11" width="10.5546875" bestFit="1" customWidth="1"/>
    <col min="12" max="12" width="12.6640625" bestFit="1" customWidth="1"/>
    <col min="13" max="13" width="18.33203125" bestFit="1" customWidth="1"/>
    <col min="14" max="14" width="29.21875" bestFit="1" customWidth="1"/>
    <col min="15" max="15" width="12.6640625" bestFit="1" customWidth="1"/>
    <col min="16" max="17" width="18.5546875" bestFit="1" customWidth="1"/>
    <col min="18" max="18" width="9.77734375" bestFit="1" customWidth="1"/>
    <col min="19" max="19" width="7.109375" bestFit="1" customWidth="1"/>
  </cols>
  <sheetData>
    <row r="1" spans="1:19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 ht="14.4">
      <c r="A2" s="2" t="s">
        <v>27</v>
      </c>
      <c r="B2" s="2" t="s">
        <v>28</v>
      </c>
      <c r="C2" s="2" t="s">
        <v>28</v>
      </c>
      <c r="D2" s="3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485337.17</v>
      </c>
      <c r="K2" s="2">
        <v>63093.83</v>
      </c>
      <c r="L2" s="2">
        <v>548431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41</v>
      </c>
      <c r="R2" s="2" t="s">
        <v>43</v>
      </c>
      <c r="S2" s="2"/>
    </row>
    <row r="3" spans="1:19" ht="14.4">
      <c r="A3" s="2" t="s">
        <v>44</v>
      </c>
      <c r="B3" s="2" t="s">
        <v>28</v>
      </c>
      <c r="C3" s="2" t="s">
        <v>28</v>
      </c>
      <c r="D3" s="3" t="s">
        <v>45</v>
      </c>
      <c r="E3" s="2" t="s">
        <v>46</v>
      </c>
      <c r="F3" s="2" t="s">
        <v>47</v>
      </c>
      <c r="G3" s="2" t="s">
        <v>32</v>
      </c>
      <c r="H3" s="2" t="s">
        <v>33</v>
      </c>
      <c r="I3" s="2" t="s">
        <v>48</v>
      </c>
      <c r="J3" s="2">
        <v>49262.83</v>
      </c>
      <c r="K3" s="2">
        <v>6404.17</v>
      </c>
      <c r="L3" s="2">
        <v>55667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41</v>
      </c>
      <c r="R3" s="2" t="s">
        <v>51</v>
      </c>
      <c r="S3" s="2"/>
    </row>
    <row r="4" spans="1:19" ht="14.4">
      <c r="A4" s="2" t="s">
        <v>52</v>
      </c>
      <c r="B4" s="2" t="s">
        <v>28</v>
      </c>
      <c r="C4" s="2" t="s">
        <v>28</v>
      </c>
      <c r="D4" s="3" t="s">
        <v>53</v>
      </c>
      <c r="E4" s="2" t="s">
        <v>54</v>
      </c>
      <c r="F4" s="2" t="s">
        <v>55</v>
      </c>
      <c r="G4" s="2" t="s">
        <v>32</v>
      </c>
      <c r="H4" s="2" t="s">
        <v>33</v>
      </c>
      <c r="I4" s="2" t="s">
        <v>56</v>
      </c>
      <c r="J4" s="2">
        <v>137632.74</v>
      </c>
      <c r="K4" s="2">
        <v>17892.259999999998</v>
      </c>
      <c r="L4" s="2">
        <v>155525</v>
      </c>
      <c r="M4" s="2" t="s">
        <v>39</v>
      </c>
      <c r="N4" s="2" t="s">
        <v>40</v>
      </c>
      <c r="O4" s="2" t="s">
        <v>41</v>
      </c>
      <c r="P4" s="2" t="s">
        <v>42</v>
      </c>
      <c r="Q4" s="2" t="s">
        <v>41</v>
      </c>
      <c r="R4" s="2" t="s">
        <v>59</v>
      </c>
      <c r="S4" s="2"/>
    </row>
    <row r="5" spans="1:19" ht="14.4">
      <c r="A5" s="2" t="s">
        <v>60</v>
      </c>
      <c r="B5" s="2" t="s">
        <v>28</v>
      </c>
      <c r="C5" s="2" t="s">
        <v>28</v>
      </c>
      <c r="D5" s="3" t="s">
        <v>61</v>
      </c>
      <c r="E5" s="2" t="s">
        <v>46</v>
      </c>
      <c r="F5" s="2" t="s">
        <v>47</v>
      </c>
      <c r="G5" s="2" t="s">
        <v>32</v>
      </c>
      <c r="H5" s="2" t="s">
        <v>33</v>
      </c>
      <c r="I5" s="2" t="s">
        <v>62</v>
      </c>
      <c r="J5" s="2">
        <v>63242.48</v>
      </c>
      <c r="K5" s="2">
        <v>8221.52</v>
      </c>
      <c r="L5" s="2">
        <v>71464</v>
      </c>
      <c r="M5" s="2" t="s">
        <v>39</v>
      </c>
      <c r="N5" s="2" t="s">
        <v>40</v>
      </c>
      <c r="O5" s="2" t="s">
        <v>41</v>
      </c>
      <c r="P5" s="2" t="s">
        <v>42</v>
      </c>
      <c r="Q5" s="2" t="s">
        <v>41</v>
      </c>
      <c r="R5" s="2" t="s">
        <v>51</v>
      </c>
      <c r="S5" s="2"/>
    </row>
    <row r="6" spans="1:19" ht="14.4">
      <c r="A6" s="2" t="s">
        <v>63</v>
      </c>
      <c r="B6" s="2" t="s">
        <v>28</v>
      </c>
      <c r="C6" s="2" t="s">
        <v>28</v>
      </c>
      <c r="D6" s="3" t="s">
        <v>64</v>
      </c>
      <c r="E6" s="2" t="s">
        <v>65</v>
      </c>
      <c r="F6" s="2" t="s">
        <v>66</v>
      </c>
      <c r="G6" s="2" t="s">
        <v>32</v>
      </c>
      <c r="H6" s="2" t="s">
        <v>33</v>
      </c>
      <c r="I6" s="2" t="s">
        <v>67</v>
      </c>
      <c r="J6" s="2">
        <v>35394.69</v>
      </c>
      <c r="K6" s="2">
        <v>4601.3100000000004</v>
      </c>
      <c r="L6" s="2">
        <v>39996</v>
      </c>
      <c r="M6" s="2" t="s">
        <v>39</v>
      </c>
      <c r="N6" s="2" t="s">
        <v>40</v>
      </c>
      <c r="O6" s="2" t="s">
        <v>41</v>
      </c>
      <c r="P6" s="2" t="s">
        <v>42</v>
      </c>
      <c r="Q6" s="2" t="s">
        <v>41</v>
      </c>
      <c r="R6" s="2" t="s">
        <v>71</v>
      </c>
      <c r="S6" s="2"/>
    </row>
    <row r="7" spans="1:19" ht="14.4">
      <c r="A7" s="2" t="s">
        <v>72</v>
      </c>
      <c r="B7" s="2" t="s">
        <v>28</v>
      </c>
      <c r="C7" s="2" t="s">
        <v>28</v>
      </c>
      <c r="D7" s="3" t="s">
        <v>73</v>
      </c>
      <c r="E7" s="2" t="s">
        <v>74</v>
      </c>
      <c r="F7" s="2" t="s">
        <v>75</v>
      </c>
      <c r="G7" s="2" t="s">
        <v>32</v>
      </c>
      <c r="H7" s="2" t="s">
        <v>33</v>
      </c>
      <c r="I7" s="2" t="s">
        <v>76</v>
      </c>
      <c r="J7" s="2">
        <v>17341.59</v>
      </c>
      <c r="K7" s="2">
        <v>2254.41</v>
      </c>
      <c r="L7" s="2">
        <v>19596</v>
      </c>
      <c r="M7" s="2" t="s">
        <v>39</v>
      </c>
      <c r="N7" s="2" t="s">
        <v>40</v>
      </c>
      <c r="O7" s="2" t="s">
        <v>41</v>
      </c>
      <c r="P7" s="2" t="s">
        <v>42</v>
      </c>
      <c r="Q7" s="2" t="s">
        <v>41</v>
      </c>
      <c r="R7" s="2" t="s">
        <v>80</v>
      </c>
      <c r="S7" s="2"/>
    </row>
    <row r="8" spans="1:19" ht="14.4">
      <c r="A8" s="2" t="s">
        <v>81</v>
      </c>
      <c r="B8" s="2" t="s">
        <v>28</v>
      </c>
      <c r="C8" s="2" t="s">
        <v>28</v>
      </c>
      <c r="D8" s="3" t="s">
        <v>82</v>
      </c>
      <c r="E8" s="2" t="s">
        <v>83</v>
      </c>
      <c r="F8" s="2" t="s">
        <v>84</v>
      </c>
      <c r="G8" s="2" t="s">
        <v>32</v>
      </c>
      <c r="H8" s="2" t="s">
        <v>33</v>
      </c>
      <c r="I8" s="2" t="s">
        <v>85</v>
      </c>
      <c r="J8" s="2">
        <v>22123.89</v>
      </c>
      <c r="K8" s="2">
        <v>2876.11</v>
      </c>
      <c r="L8" s="2">
        <v>25000</v>
      </c>
      <c r="M8" s="2" t="s">
        <v>39</v>
      </c>
      <c r="N8" s="2" t="s">
        <v>40</v>
      </c>
      <c r="O8" s="2" t="s">
        <v>41</v>
      </c>
      <c r="P8" s="2" t="s">
        <v>42</v>
      </c>
      <c r="Q8" s="2" t="s">
        <v>41</v>
      </c>
      <c r="R8" s="2" t="s">
        <v>51</v>
      </c>
      <c r="S8" s="2"/>
    </row>
    <row r="9" spans="1:19" ht="14.4">
      <c r="A9" s="2" t="s">
        <v>89</v>
      </c>
      <c r="B9" s="2"/>
      <c r="C9" s="2"/>
      <c r="D9" s="2"/>
      <c r="E9" s="2"/>
      <c r="F9" s="2"/>
      <c r="G9" s="2"/>
      <c r="H9" s="2"/>
      <c r="I9" s="2"/>
      <c r="J9" s="2">
        <v>810335.39</v>
      </c>
      <c r="K9" s="2">
        <v>105343.61</v>
      </c>
      <c r="L9" s="2"/>
      <c r="M9" s="2"/>
      <c r="N9" s="2"/>
      <c r="O9" s="2"/>
      <c r="P9" s="2"/>
      <c r="Q9" s="2"/>
      <c r="R9" s="2"/>
      <c r="S9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JX</cp:lastModifiedBy>
  <dcterms:created xsi:type="dcterms:W3CDTF">2026-01-10T14:47:44Z</dcterms:created>
  <dcterms:modified xsi:type="dcterms:W3CDTF">2026-01-10T15:58:33Z</dcterms:modified>
</cp:coreProperties>
</file>