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 activeTab="5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付工资!$M$6:$N$24</definedName>
    <definedName name="_xlnm.Print_Area" localSheetId="2">材料!$A$1:$O$17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xb21cn</author>
  </authors>
  <commentList>
    <comment ref="M3" authorId="0">
      <text>
        <r>
          <rPr>
            <b/>
            <sz val="9"/>
            <rFont val="宋体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>
  <authors>
    <author>JX</author>
    <author>xb21cn</author>
  </authors>
  <commentList>
    <comment ref="K7" authorId="0">
      <text>
        <r>
          <rPr>
            <b/>
            <sz val="9"/>
            <rFont val="宋体"/>
            <charset val="134"/>
          </rPr>
          <t>废料成本</t>
        </r>
      </text>
    </comment>
    <comment ref="G30" authorId="1">
      <text>
        <r>
          <rPr>
            <b/>
            <sz val="9"/>
            <rFont val="宋体"/>
            <charset val="134"/>
          </rPr>
          <t>个体经营所得税成本</t>
        </r>
      </text>
    </comment>
    <comment ref="E31" authorId="1">
      <text>
        <r>
          <rPr>
            <b/>
            <sz val="9"/>
            <rFont val="宋体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>
  <authors>
    <author>xb21cn</author>
    <author>JX</author>
  </authors>
  <commentList>
    <comment ref="K27" authorId="0">
      <text>
        <r>
          <rPr>
            <b/>
            <sz val="9"/>
            <rFont val="宋体"/>
            <charset val="134"/>
          </rPr>
          <t>含税单价</t>
        </r>
      </text>
    </comment>
    <comment ref="L27" authorId="0">
      <text>
        <r>
          <rPr>
            <b/>
            <sz val="9"/>
            <rFont val="宋体"/>
            <charset val="134"/>
          </rPr>
          <t>含税销售额</t>
        </r>
      </text>
    </comment>
    <comment ref="L39" authorId="0">
      <text>
        <r>
          <rPr>
            <b/>
            <sz val="9"/>
            <rFont val="宋体"/>
            <charset val="134"/>
          </rPr>
          <t>含税销售额</t>
        </r>
      </text>
    </comment>
    <comment ref="N39" authorId="1">
      <text>
        <r>
          <rPr>
            <b/>
            <sz val="9"/>
            <rFont val="宋体"/>
            <charset val="134"/>
          </rPr>
          <t>不含税金额</t>
        </r>
      </text>
    </comment>
    <comment ref="O39" authorId="1">
      <text>
        <r>
          <rPr>
            <b/>
            <sz val="9"/>
            <rFont val="宋体"/>
            <charset val="134"/>
          </rPr>
          <t>废料成本</t>
        </r>
      </text>
    </comment>
    <comment ref="N65" authorId="1">
      <text>
        <r>
          <rPr>
            <b/>
            <sz val="9"/>
            <rFont val="宋体"/>
            <charset val="134"/>
          </rPr>
          <t>不含税金额</t>
        </r>
      </text>
    </comment>
    <comment ref="O65" authorId="1">
      <text>
        <r>
          <rPr>
            <b/>
            <sz val="9"/>
            <rFont val="宋体"/>
            <charset val="134"/>
          </rPr>
          <t>废料成本</t>
        </r>
      </text>
    </comment>
    <comment ref="W78" authorId="1">
      <text>
        <r>
          <rPr>
            <b/>
            <sz val="9"/>
            <rFont val="宋体"/>
            <charset val="134"/>
          </rPr>
          <t>不含税金额</t>
        </r>
      </text>
    </comment>
    <comment ref="X78" authorId="1">
      <text>
        <r>
          <rPr>
            <b/>
            <sz val="9"/>
            <rFont val="宋体"/>
            <charset val="134"/>
          </rPr>
          <t>废料成本</t>
        </r>
      </text>
    </comment>
    <comment ref="N81" authorId="1">
      <text>
        <r>
          <rPr>
            <b/>
            <sz val="9"/>
            <rFont val="宋体"/>
            <charset val="134"/>
          </rPr>
          <t>不含税金额</t>
        </r>
      </text>
    </comment>
    <comment ref="O81" authorId="1">
      <text>
        <r>
          <rPr>
            <b/>
            <sz val="9"/>
            <rFont val="宋体"/>
            <charset val="134"/>
          </rPr>
          <t>废料成本</t>
        </r>
      </text>
    </comment>
    <comment ref="W94" authorId="1">
      <text>
        <r>
          <rPr>
            <b/>
            <sz val="9"/>
            <rFont val="宋体"/>
            <charset val="134"/>
          </rPr>
          <t>不含税金额</t>
        </r>
      </text>
    </comment>
    <comment ref="X94" authorId="1">
      <text>
        <r>
          <rPr>
            <b/>
            <sz val="9"/>
            <rFont val="宋体"/>
            <charset val="134"/>
          </rPr>
          <t>废料成本</t>
        </r>
      </text>
    </comment>
    <comment ref="W119" authorId="1">
      <text>
        <r>
          <rPr>
            <b/>
            <sz val="9"/>
            <rFont val="宋体"/>
            <charset val="134"/>
          </rPr>
          <t>不含税金额</t>
        </r>
      </text>
    </comment>
    <comment ref="X119" authorId="1">
      <text>
        <r>
          <rPr>
            <b/>
            <sz val="9"/>
            <rFont val="宋体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<sst xmlns="http://schemas.openxmlformats.org/spreadsheetml/2006/main" count="660" uniqueCount="273">
  <si>
    <t>产品销售成本计算表</t>
  </si>
  <si>
    <t xml:space="preserve">  编制单位：揭阳市揭东区磐东洪运来机械厂                    2025年11月                               单位:元</t>
  </si>
  <si>
    <t>品名　　　　项目</t>
  </si>
  <si>
    <t>期初库存</t>
  </si>
  <si>
    <t>本期销售</t>
  </si>
  <si>
    <t>本期生产</t>
  </si>
  <si>
    <t>本月销售成本</t>
  </si>
  <si>
    <t>期末库存</t>
  </si>
  <si>
    <t>数量</t>
  </si>
  <si>
    <t>金额</t>
  </si>
  <si>
    <t>单价</t>
  </si>
  <si>
    <t>销售单价</t>
  </si>
  <si>
    <t>报关</t>
  </si>
  <si>
    <t>订单</t>
  </si>
  <si>
    <t>成本</t>
  </si>
  <si>
    <t>铁制导轨（千克</t>
  </si>
  <si>
    <t>-72-73-74-75</t>
  </si>
  <si>
    <t>滑轨（付</t>
  </si>
  <si>
    <t>三节滑轨（付</t>
  </si>
  <si>
    <t>合　　计</t>
  </si>
  <si>
    <t>产  品  成  本  核  算  表</t>
  </si>
  <si>
    <t xml:space="preserve">  编制单位:揭阳市揭东区磐东洪运来机械厂                   2025.11                                      单位:元</t>
  </si>
  <si>
    <r>
      <rPr>
        <sz val="12"/>
        <rFont val="宋体"/>
        <charset val="134"/>
      </rPr>
      <t xml:space="preserve">项目　 </t>
    </r>
    <r>
      <rPr>
        <sz val="12"/>
        <rFont val="宋体"/>
        <charset val="134"/>
      </rPr>
      <t xml:space="preserve">   </t>
    </r>
    <r>
      <rPr>
        <sz val="12"/>
        <rFont val="宋体"/>
        <charset val="134"/>
      </rPr>
      <t>　品名</t>
    </r>
  </si>
  <si>
    <t>总计金额</t>
  </si>
  <si>
    <t>一、直接计入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</si>
  <si>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原材料</t>
    </r>
  </si>
  <si>
    <t>动力余额</t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</si>
  <si>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包装物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</si>
  <si>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工资及福利</t>
    </r>
  </si>
  <si>
    <r>
      <rPr>
        <sz val="12"/>
        <rFont val="宋体"/>
        <charset val="134"/>
      </rPr>
      <t>二、分配计入</t>
    </r>
    <r>
      <rPr>
        <sz val="12"/>
        <rFont val="Times New Roman"/>
        <charset val="134"/>
      </rPr>
      <t xml:space="preserve"> </t>
    </r>
  </si>
  <si>
    <t>加工费余额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</si>
  <si>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水电费</t>
    </r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</si>
  <si>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折旧费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</si>
  <si>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加工费</t>
    </r>
  </si>
  <si>
    <r>
      <rPr>
        <sz val="12"/>
        <rFont val="Times New Roman"/>
        <charset val="134"/>
      </rPr>
      <t xml:space="preserve">    4.</t>
    </r>
    <r>
      <rPr>
        <sz val="12"/>
        <rFont val="宋体"/>
        <charset val="134"/>
      </rPr>
      <t>劳动保护费</t>
    </r>
  </si>
  <si>
    <r>
      <rPr>
        <sz val="12"/>
        <rFont val="Times New Roman"/>
        <charset val="134"/>
      </rPr>
      <t xml:space="preserve">    5.</t>
    </r>
    <r>
      <rPr>
        <sz val="12"/>
        <rFont val="宋体"/>
        <charset val="134"/>
      </rPr>
      <t>物料费</t>
    </r>
  </si>
  <si>
    <r>
      <rPr>
        <sz val="12"/>
        <rFont val="Times New Roman"/>
        <charset val="134"/>
      </rPr>
      <t xml:space="preserve">    6.</t>
    </r>
    <r>
      <rPr>
        <sz val="12"/>
        <rFont val="宋体"/>
        <charset val="134"/>
      </rPr>
      <t>燃油费</t>
    </r>
  </si>
  <si>
    <t>成本率</t>
  </si>
  <si>
    <r>
      <rPr>
        <sz val="12"/>
        <rFont val="Times New Roman"/>
        <charset val="134"/>
      </rPr>
      <t xml:space="preserve">    7.</t>
    </r>
    <r>
      <rPr>
        <sz val="12"/>
        <rFont val="宋体"/>
        <charset val="134"/>
      </rPr>
      <t>其他费用</t>
    </r>
  </si>
  <si>
    <t>材料接近0</t>
  </si>
  <si>
    <t>总成本合计</t>
  </si>
  <si>
    <t>废料接近0</t>
  </si>
  <si>
    <t>单位</t>
  </si>
  <si>
    <t>千克</t>
  </si>
  <si>
    <t>付</t>
  </si>
  <si>
    <t>产成品数量</t>
  </si>
  <si>
    <t>平均单价</t>
  </si>
  <si>
    <t>公斤</t>
  </si>
  <si>
    <t>料率</t>
  </si>
  <si>
    <t>工资率</t>
  </si>
  <si>
    <t>动力率</t>
  </si>
  <si>
    <t>加工</t>
  </si>
  <si>
    <t>原 材 料 进 销 存 月 结 表</t>
  </si>
  <si>
    <t xml:space="preserve"> 编制单位：揭阳市揭东区磐东洪运来机械厂        　　　　      2025 年 11 月份                                      单位：人民币元</t>
  </si>
  <si>
    <t>品名</t>
  </si>
  <si>
    <t>上月结存</t>
  </si>
  <si>
    <t>本月进仓数</t>
  </si>
  <si>
    <t>本月发出数</t>
  </si>
  <si>
    <t>本月结余</t>
  </si>
  <si>
    <t>备注</t>
  </si>
  <si>
    <t>带钢</t>
  </si>
  <si>
    <t>吨</t>
  </si>
  <si>
    <t>镀锌卷板</t>
  </si>
  <si>
    <t>冷轧带钢</t>
  </si>
  <si>
    <t>冷轧板卷</t>
  </si>
  <si>
    <t>冷轧卷板</t>
  </si>
  <si>
    <t>塑料缓冲器配件</t>
  </si>
  <si>
    <t>个</t>
  </si>
  <si>
    <t>钢珠</t>
  </si>
  <si>
    <t>物料</t>
  </si>
  <si>
    <t>滑轨塑料配件</t>
  </si>
  <si>
    <t>套</t>
  </si>
  <si>
    <t>润滑脂</t>
  </si>
  <si>
    <t>桶</t>
  </si>
  <si>
    <t>纸箱</t>
  </si>
  <si>
    <t>卡板托盘</t>
  </si>
  <si>
    <t>胶带</t>
  </si>
  <si>
    <t>平方米</t>
  </si>
  <si>
    <t>合    计</t>
  </si>
  <si>
    <t>销售废料0元</t>
  </si>
  <si>
    <t>含税</t>
  </si>
  <si>
    <t>税额</t>
  </si>
  <si>
    <t>收入</t>
  </si>
  <si>
    <t>冲减无票销售</t>
  </si>
  <si>
    <t>增值税</t>
  </si>
  <si>
    <t>销项</t>
  </si>
  <si>
    <t>进项</t>
  </si>
  <si>
    <t>生产成本</t>
  </si>
  <si>
    <t>留抵</t>
  </si>
  <si>
    <t>1.材料</t>
  </si>
  <si>
    <t>1.工资</t>
  </si>
  <si>
    <t>废铁</t>
  </si>
  <si>
    <t>3.制造费用</t>
  </si>
  <si>
    <t>开票销售</t>
  </si>
  <si>
    <t>3.1折旧</t>
  </si>
  <si>
    <t>期初电</t>
  </si>
  <si>
    <t>期末电</t>
  </si>
  <si>
    <t>无票销售</t>
  </si>
  <si>
    <r>
      <rPr>
        <sz val="12"/>
        <rFont val="宋体"/>
        <charset val="134"/>
      </rPr>
      <t>3.</t>
    </r>
    <r>
      <rPr>
        <sz val="12"/>
        <rFont val="宋体"/>
        <charset val="134"/>
      </rPr>
      <t>2</t>
    </r>
    <r>
      <rPr>
        <sz val="12"/>
        <rFont val="宋体"/>
        <charset val="134"/>
      </rPr>
      <t>电费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</si>
  <si>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.3加工费</t>
    </r>
  </si>
  <si>
    <t>期初待抵</t>
  </si>
  <si>
    <t>本期增加</t>
  </si>
  <si>
    <t>本期认证</t>
  </si>
  <si>
    <t>期末留抵</t>
  </si>
  <si>
    <t>主营业务税金及附加</t>
  </si>
  <si>
    <t>1.城建税</t>
  </si>
  <si>
    <t>2.教育费附加</t>
  </si>
  <si>
    <t>3.地方教育费附加</t>
  </si>
  <si>
    <t>年销售额</t>
  </si>
  <si>
    <t>销售费用</t>
  </si>
  <si>
    <t>年利润总额</t>
  </si>
  <si>
    <t>出口服务费</t>
  </si>
  <si>
    <t>投资者减除</t>
  </si>
  <si>
    <t>运输费</t>
  </si>
  <si>
    <t>应纳税所得额</t>
  </si>
  <si>
    <t>应纳税额</t>
  </si>
  <si>
    <t>营业利润</t>
  </si>
  <si>
    <t>减免税额</t>
  </si>
  <si>
    <t>已缴纳税额</t>
  </si>
  <si>
    <t>管理费用</t>
  </si>
  <si>
    <t>缓交税额</t>
  </si>
  <si>
    <t>应补税额</t>
  </si>
  <si>
    <t>2.办公</t>
  </si>
  <si>
    <t>税款</t>
  </si>
  <si>
    <t>3.差旅</t>
  </si>
  <si>
    <t>4.业务</t>
  </si>
  <si>
    <t>累计销售额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</si>
  <si>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.</t>
    </r>
    <r>
      <rPr>
        <sz val="12"/>
        <rFont val="宋体"/>
        <charset val="134"/>
      </rPr>
      <t>保险</t>
    </r>
  </si>
  <si>
    <t>利润总额</t>
  </si>
  <si>
    <t>6.折旧</t>
  </si>
  <si>
    <t>实际利润总额</t>
  </si>
  <si>
    <t>7.福利费</t>
  </si>
  <si>
    <t>差异</t>
  </si>
  <si>
    <t>8.土地使用税</t>
  </si>
  <si>
    <t>9.房产税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</si>
  <si>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</t>
    </r>
    <r>
      <rPr>
        <sz val="12"/>
        <rFont val="宋体"/>
        <charset val="134"/>
      </rPr>
      <t>.社保费</t>
    </r>
  </si>
  <si>
    <t>财务费用</t>
  </si>
  <si>
    <t>利息</t>
  </si>
  <si>
    <t>手续费</t>
  </si>
  <si>
    <t>贷款息</t>
  </si>
  <si>
    <t>退税综合服务费</t>
  </si>
  <si>
    <t>汇兑损益</t>
  </si>
  <si>
    <t>营业外收入</t>
  </si>
  <si>
    <t>营业外支出</t>
  </si>
  <si>
    <t>净利润</t>
  </si>
  <si>
    <t>揭阳市揭东区磐东洪运来机械厂</t>
  </si>
  <si>
    <r>
      <rPr>
        <b/>
        <sz val="22"/>
        <rFont val="Times New Roman"/>
        <charset val="134"/>
      </rPr>
      <t>2025</t>
    </r>
    <r>
      <rPr>
        <b/>
        <sz val="22"/>
        <rFont val="宋体"/>
        <charset val="134"/>
      </rPr>
      <t>年</t>
    </r>
    <r>
      <rPr>
        <b/>
        <sz val="22"/>
        <rFont val="Times New Roman"/>
        <charset val="134"/>
      </rPr>
      <t>11</t>
    </r>
    <r>
      <rPr>
        <b/>
        <sz val="22"/>
        <rFont val="宋体"/>
        <charset val="134"/>
      </rPr>
      <t>月工资计算表</t>
    </r>
  </si>
  <si>
    <r>
      <rPr>
        <b/>
        <sz val="16"/>
        <rFont val="Times New Roman"/>
        <charset val="134"/>
      </rPr>
      <t xml:space="preserve"> </t>
    </r>
    <r>
      <rPr>
        <b/>
        <sz val="16"/>
        <rFont val="宋体"/>
        <charset val="134"/>
      </rPr>
      <t>货币单位</t>
    </r>
    <r>
      <rPr>
        <b/>
        <sz val="16"/>
        <rFont val="Times New Roman"/>
        <charset val="134"/>
      </rPr>
      <t>:</t>
    </r>
    <r>
      <rPr>
        <b/>
        <sz val="16"/>
        <rFont val="宋体"/>
        <charset val="134"/>
      </rPr>
      <t>元</t>
    </r>
  </si>
  <si>
    <t>部门名称</t>
  </si>
  <si>
    <t>应发金额</t>
  </si>
  <si>
    <t>生产车间</t>
  </si>
  <si>
    <t>管理部门</t>
  </si>
  <si>
    <t>生产成本月结表</t>
  </si>
  <si>
    <t xml:space="preserve">  编制单位：揭阳市揭东区磐东洪运来机械厂     2025 年 11 月份 　        单位：元         </t>
  </si>
  <si>
    <t>项目</t>
  </si>
  <si>
    <t>本月发生</t>
  </si>
  <si>
    <t>本月结转</t>
  </si>
  <si>
    <t>材料费</t>
  </si>
  <si>
    <t>工资</t>
  </si>
  <si>
    <t>动力</t>
  </si>
  <si>
    <t>折旧</t>
  </si>
  <si>
    <t>实缴</t>
  </si>
  <si>
    <t>应缴</t>
  </si>
  <si>
    <t>多交</t>
  </si>
  <si>
    <t>少结材料</t>
  </si>
  <si>
    <t>开票单价提高</t>
  </si>
  <si>
    <t>废料</t>
  </si>
  <si>
    <t>工        资        表</t>
  </si>
  <si>
    <t>单位：元   2025年10月</t>
  </si>
  <si>
    <t>序号</t>
  </si>
  <si>
    <t>姓   名</t>
  </si>
  <si>
    <t>应发工资</t>
  </si>
  <si>
    <t>扣   款</t>
  </si>
  <si>
    <t>实发工资</t>
  </si>
  <si>
    <t>签   名</t>
  </si>
  <si>
    <t>姓名</t>
  </si>
  <si>
    <t>李洪军</t>
  </si>
  <si>
    <t>曾小琼</t>
  </si>
  <si>
    <t>李静</t>
  </si>
  <si>
    <t>陈云凤</t>
  </si>
  <si>
    <t>杨泽明</t>
  </si>
  <si>
    <t>代飞</t>
  </si>
  <si>
    <t>余文平</t>
  </si>
  <si>
    <t>代燕</t>
  </si>
  <si>
    <t>代玉金</t>
  </si>
  <si>
    <t>郭聪</t>
  </si>
  <si>
    <t>杨艳群</t>
  </si>
  <si>
    <t>李金容</t>
  </si>
  <si>
    <t>张贵华</t>
  </si>
  <si>
    <t>王彬</t>
  </si>
  <si>
    <t>刘华清</t>
  </si>
  <si>
    <t>石光成</t>
  </si>
  <si>
    <t>吴文荣</t>
  </si>
  <si>
    <t>叶书香</t>
  </si>
  <si>
    <t>谢苏玲</t>
  </si>
  <si>
    <t>钟玉婷</t>
  </si>
  <si>
    <t>郑华强</t>
  </si>
  <si>
    <t>郑文益</t>
  </si>
  <si>
    <t>合   计</t>
  </si>
  <si>
    <t>杨玲</t>
  </si>
  <si>
    <t>杨玉银</t>
  </si>
  <si>
    <t>石珠福</t>
  </si>
  <si>
    <t>2022年洪运来电费</t>
  </si>
  <si>
    <t>月份</t>
  </si>
  <si>
    <t>度数（KWH）</t>
  </si>
  <si>
    <t>金额（不含税</t>
  </si>
  <si>
    <t>金额（含税</t>
  </si>
  <si>
    <t>付10月电费</t>
  </si>
  <si>
    <t>付11月电费</t>
  </si>
  <si>
    <t>2023年洪运来电费</t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</si>
  <si>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2月电费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</si>
  <si>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</si>
  <si>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付2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</si>
  <si>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付3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</si>
  <si>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付4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</si>
  <si>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付5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</si>
  <si>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付6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</si>
  <si>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付7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</si>
  <si>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付8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</si>
  <si>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付9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</si>
  <si>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付10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</si>
  <si>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1</t>
    </r>
    <r>
      <rPr>
        <sz val="12"/>
        <rFont val="宋体"/>
        <charset val="134"/>
      </rPr>
      <t>月电费</t>
    </r>
  </si>
  <si>
    <t>当月月头</t>
  </si>
  <si>
    <r>
      <rPr>
        <sz val="12"/>
        <rFont val="宋体"/>
        <charset val="134"/>
      </rPr>
      <t>202</t>
    </r>
    <r>
      <rPr>
        <sz val="12"/>
        <rFont val="宋体"/>
        <charset val="134"/>
      </rPr>
      <t>4</t>
    </r>
    <r>
      <rPr>
        <sz val="12"/>
        <rFont val="宋体"/>
        <charset val="134"/>
      </rPr>
      <t>年洪运来电费</t>
    </r>
  </si>
  <si>
    <t>上月电费  度*0.785元/度=</t>
  </si>
  <si>
    <t>李</t>
  </si>
  <si>
    <t>2025年洪运来电费</t>
  </si>
  <si>
    <t>5月</t>
  </si>
  <si>
    <t>镀铝锌卷板</t>
  </si>
  <si>
    <t>废料销售</t>
  </si>
  <si>
    <t>4月未销售废料</t>
  </si>
  <si>
    <t>5月未销售废料</t>
  </si>
  <si>
    <t>6月未销售废料</t>
  </si>
  <si>
    <t>7月未销售废料</t>
  </si>
  <si>
    <t>8月未销售废料</t>
  </si>
  <si>
    <t>9月未销售废料</t>
  </si>
  <si>
    <t>10月未销售废料</t>
  </si>
  <si>
    <t>11月未销售废料</t>
  </si>
  <si>
    <t>12月未销售废料</t>
  </si>
  <si>
    <t>1月未销售废料</t>
  </si>
  <si>
    <t>2月未销售废料</t>
  </si>
  <si>
    <t>3月未销售废料</t>
  </si>
  <si>
    <t>预测废料</t>
  </si>
  <si>
    <t>以上废料已结算</t>
  </si>
  <si>
    <t>含税金额</t>
  </si>
  <si>
    <t>*金属制品*废铁</t>
  </si>
  <si>
    <t>6月</t>
  </si>
  <si>
    <t>镀锌带钢</t>
  </si>
  <si>
    <t>7月</t>
  </si>
  <si>
    <t>8月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</si>
  <si>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024.10.26</t>
    </r>
  </si>
  <si>
    <t>9月</t>
  </si>
  <si>
    <t>2024.12.27</t>
  </si>
  <si>
    <t>10月</t>
  </si>
  <si>
    <t>11月</t>
  </si>
  <si>
    <r>
      <rPr>
        <sz val="12"/>
        <rFont val="宋体"/>
        <charset val="134"/>
      </rPr>
      <t>2025</t>
    </r>
    <r>
      <rPr>
        <sz val="12"/>
        <rFont val="宋体"/>
        <charset val="134"/>
      </rPr>
      <t>.</t>
    </r>
    <r>
      <rPr>
        <sz val="12"/>
        <rFont val="宋体"/>
        <charset val="134"/>
      </rPr>
      <t>02</t>
    </r>
    <r>
      <rPr>
        <sz val="12"/>
        <rFont val="宋体"/>
        <charset val="134"/>
      </rPr>
      <t>.</t>
    </r>
    <r>
      <rPr>
        <sz val="12"/>
        <rFont val="宋体"/>
        <charset val="134"/>
      </rPr>
      <t>26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</si>
  <si>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2月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</si>
  <si>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月</t>
    </r>
  </si>
  <si>
    <t>2月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</si>
  <si>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025.05.27</t>
    </r>
  </si>
  <si>
    <t>2025.09.24</t>
  </si>
  <si>
    <t>3月</t>
  </si>
  <si>
    <t>4月</t>
  </si>
  <si>
    <t>加工成本计算表</t>
  </si>
  <si>
    <r>
      <rPr>
        <b/>
        <sz val="14"/>
        <rFont val="宋体"/>
        <charset val="134"/>
      </rPr>
      <t xml:space="preserve">    </t>
    </r>
    <r>
      <rPr>
        <b/>
        <sz val="14"/>
        <rFont val="宋体"/>
        <charset val="134"/>
      </rPr>
      <t>项</t>
    </r>
    <r>
      <rPr>
        <b/>
        <sz val="14"/>
        <rFont val="Times New Roman"/>
        <charset val="134"/>
      </rPr>
      <t xml:space="preserve">             </t>
    </r>
    <r>
      <rPr>
        <b/>
        <sz val="14"/>
        <rFont val="宋体"/>
        <charset val="134"/>
      </rPr>
      <t>目</t>
    </r>
  </si>
  <si>
    <t>单位成本</t>
  </si>
  <si>
    <r>
      <rPr>
        <b/>
        <sz val="14"/>
        <rFont val="宋体"/>
        <charset val="134"/>
      </rPr>
      <t>合</t>
    </r>
    <r>
      <rPr>
        <b/>
        <sz val="14"/>
        <rFont val="Times New Roman"/>
        <charset val="134"/>
      </rPr>
      <t xml:space="preserve">   </t>
    </r>
    <r>
      <rPr>
        <b/>
        <sz val="14"/>
        <rFont val="宋体"/>
        <charset val="134"/>
      </rPr>
      <t>计</t>
    </r>
  </si>
  <si>
    <r>
      <rPr>
        <sz val="14"/>
        <rFont val="宋体"/>
        <charset val="134"/>
      </rPr>
      <t>工</t>
    </r>
    <r>
      <rPr>
        <sz val="14"/>
        <rFont val="Times New Roman"/>
        <charset val="134"/>
      </rPr>
      <t xml:space="preserve">       </t>
    </r>
    <r>
      <rPr>
        <sz val="14"/>
        <rFont val="宋体"/>
        <charset val="134"/>
      </rPr>
      <t>资</t>
    </r>
  </si>
  <si>
    <t>制造费用</t>
  </si>
  <si>
    <r>
      <rPr>
        <b/>
        <sz val="14"/>
        <rFont val="宋体"/>
        <charset val="134"/>
      </rPr>
      <t>总</t>
    </r>
    <r>
      <rPr>
        <b/>
        <sz val="14"/>
        <rFont val="Times New Roman"/>
        <charset val="134"/>
      </rPr>
      <t xml:space="preserve">         </t>
    </r>
    <r>
      <rPr>
        <b/>
        <sz val="14"/>
        <rFont val="宋体"/>
        <charset val="134"/>
      </rPr>
      <t>计</t>
    </r>
  </si>
  <si>
    <t>加工收入：</t>
  </si>
  <si>
    <t>加工利润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</si>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</sst>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_);[Red]\(0.00\)"/>
    <numFmt numFmtId="179" formatCode="0.000_);[Red]\(0.000\)"/>
    <numFmt numFmtId="180" formatCode="0.000"/>
    <numFmt numFmtId="181" formatCode="0.0000_ "/>
    <numFmt numFmtId="182" formatCode="#,##0.00_ "/>
    <numFmt numFmtId="183" formatCode="0.000%"/>
    <numFmt numFmtId="184" formatCode="0_ "/>
    <numFmt numFmtId="185" formatCode="0.000000_ "/>
    <numFmt numFmtId="186" formatCode="_ * #,##0.00000_ ;_ * \-#,##0.00000_ ;_ * &quot;-&quot;??_ ;_ @_ "/>
    <numFmt numFmtId="187" formatCode="0.00000_);[Red]\(0.00000\)"/>
    <numFmt numFmtId="188" formatCode="#,##0.00_);[Red]\(#,##0.00\)"/>
    <numFmt numFmtId="189" formatCode="_ * #,##0.0000_ ;_ * \-#,##0.0000_ ;_ * &quot;-&quot;??_ ;_ @_ "/>
    <numFmt numFmtId="190" formatCode="_ \¥* #,##0.00_ ;_ \¥* \-#,##0.00_ ;_ \¥* &quot;-&quot;??_ ;_ @_ "/>
    <numFmt numFmtId="191" formatCode="0_);[Red]\(0\)"/>
    <numFmt numFmtId="192" formatCode="0.00000000000_ "/>
  </numFmts>
  <fonts count="50">
    <font>
      <sz val="12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b/>
      <sz val="11"/>
      <name val="宋体"/>
      <charset val="134"/>
    </font>
    <font>
      <sz val="12"/>
      <color rgb="FFFFFFFF"/>
      <name val="宋体"/>
      <charset val="134"/>
    </font>
    <font>
      <sz val="11"/>
      <name val="宋体"/>
      <charset val="134"/>
    </font>
    <font>
      <b/>
      <sz val="22"/>
      <name val="宋体"/>
      <charset val="134"/>
    </font>
    <font>
      <b/>
      <sz val="22"/>
      <name val="Times New Roman"/>
      <charset val="134"/>
    </font>
    <font>
      <b/>
      <sz val="12"/>
      <name val="Times New Roman"/>
      <charset val="134"/>
    </font>
    <font>
      <b/>
      <sz val="16"/>
      <name val="Times New Roman"/>
      <charset val="134"/>
    </font>
    <font>
      <b/>
      <sz val="18"/>
      <name val="宋体"/>
      <charset val="134"/>
    </font>
    <font>
      <sz val="12"/>
      <color indexed="26"/>
      <name val="宋体"/>
      <charset val="134"/>
    </font>
    <font>
      <b/>
      <sz val="24"/>
      <name val="宋体"/>
      <charset val="134"/>
    </font>
    <font>
      <b/>
      <sz val="18"/>
      <name val="楷体_GB2312"/>
      <charset val="134"/>
    </font>
    <font>
      <sz val="12"/>
      <name val="Times New Roman"/>
      <charset val="134"/>
    </font>
    <font>
      <b/>
      <u/>
      <sz val="18"/>
      <name val="Times New Roman"/>
      <charset val="134"/>
    </font>
    <font>
      <b/>
      <u/>
      <sz val="26"/>
      <name val="隶书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Times New Roman"/>
      <charset val="134"/>
    </font>
    <font>
      <sz val="14"/>
      <name val="Times New Roman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3" borderId="1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13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5" borderId="13" applyNumberFormat="0" applyAlignment="0" applyProtection="0">
      <alignment vertical="center"/>
    </xf>
    <xf numFmtId="0" fontId="39" fillId="6" borderId="15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</cellStyleXfs>
  <cellXfs count="2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2" xfId="0" applyNumberFormat="1" applyFont="1" applyBorder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178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>
      <alignment vertical="center"/>
    </xf>
    <xf numFmtId="178" fontId="4" fillId="0" borderId="2" xfId="0" applyNumberFormat="1" applyFont="1" applyBorder="1" applyAlignment="1">
      <alignment horizontal="right" vertical="center" shrinkToFit="1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8" fontId="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9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8" fontId="7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4" fillId="0" borderId="0" xfId="0" applyNumberFormat="1" applyFont="1">
      <alignment vertical="center"/>
    </xf>
    <xf numFmtId="179" fontId="0" fillId="0" borderId="0" xfId="0" applyNumberFormat="1">
      <alignment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4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2" fontId="0" fillId="0" borderId="0" xfId="0" applyNumberForma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3" applyNumberFormat="1" applyFont="1">
      <alignment vertical="center"/>
    </xf>
    <xf numFmtId="0" fontId="4" fillId="0" borderId="0" xfId="49" applyAlignment="1">
      <alignment horizontal="center" vertical="center"/>
    </xf>
    <xf numFmtId="0" fontId="8" fillId="0" borderId="2" xfId="49" applyFont="1" applyBorder="1" applyAlignment="1">
      <alignment horizontal="center" vertical="center"/>
    </xf>
    <xf numFmtId="0" fontId="4" fillId="0" borderId="2" xfId="49" applyBorder="1" applyAlignment="1">
      <alignment horizontal="center" vertical="center"/>
    </xf>
    <xf numFmtId="0" fontId="4" fillId="0" borderId="2" xfId="49" applyBorder="1" applyAlignment="1">
      <alignment vertical="center"/>
    </xf>
    <xf numFmtId="181" fontId="4" fillId="0" borderId="2" xfId="49" applyNumberFormat="1" applyBorder="1" applyAlignment="1">
      <alignment vertical="center"/>
    </xf>
    <xf numFmtId="0" fontId="4" fillId="0" borderId="0" xfId="49"/>
    <xf numFmtId="176" fontId="4" fillId="0" borderId="0" xfId="49" applyNumberFormat="1"/>
    <xf numFmtId="181" fontId="4" fillId="0" borderId="0" xfId="49" applyNumberFormat="1" applyAlignment="1">
      <alignment vertical="center"/>
    </xf>
    <xf numFmtId="0" fontId="4" fillId="0" borderId="0" xfId="49" applyFont="1" applyAlignment="1">
      <alignment horizontal="center" vertical="center"/>
    </xf>
    <xf numFmtId="2" fontId="4" fillId="0" borderId="2" xfId="49" applyNumberFormat="1" applyBorder="1" applyAlignment="1">
      <alignment vertical="center"/>
    </xf>
    <xf numFmtId="176" fontId="4" fillId="0" borderId="2" xfId="49" applyNumberFormat="1" applyBorder="1" applyAlignment="1">
      <alignment vertical="center"/>
    </xf>
    <xf numFmtId="0" fontId="5" fillId="0" borderId="0" xfId="0" applyFont="1">
      <alignment vertical="center"/>
    </xf>
    <xf numFmtId="1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2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53">
      <alignment vertical="center"/>
    </xf>
    <xf numFmtId="0" fontId="10" fillId="0" borderId="0" xfId="53" applyFont="1" applyAlignment="1">
      <alignment horizontal="center" vertical="center"/>
    </xf>
    <xf numFmtId="0" fontId="11" fillId="0" borderId="0" xfId="53" applyFont="1" applyAlignment="1">
      <alignment horizontal="center" vertical="center"/>
    </xf>
    <xf numFmtId="0" fontId="4" fillId="0" borderId="1" xfId="53" applyBorder="1" applyAlignment="1">
      <alignment horizontal="left" vertical="center"/>
    </xf>
    <xf numFmtId="0" fontId="8" fillId="0" borderId="2" xfId="53" applyFont="1" applyBorder="1" applyAlignment="1">
      <alignment horizontal="center" vertical="center"/>
    </xf>
    <xf numFmtId="0" fontId="8" fillId="0" borderId="5" xfId="53" applyFont="1" applyBorder="1" applyAlignment="1">
      <alignment horizontal="center" vertical="center"/>
    </xf>
    <xf numFmtId="0" fontId="12" fillId="0" borderId="2" xfId="53" applyFont="1" applyBorder="1" applyAlignment="1">
      <alignment horizontal="center" vertical="center"/>
    </xf>
    <xf numFmtId="178" fontId="4" fillId="0" borderId="2" xfId="53" applyNumberFormat="1" applyBorder="1" applyAlignment="1">
      <alignment horizontal="center" vertical="center"/>
    </xf>
    <xf numFmtId="178" fontId="4" fillId="0" borderId="3" xfId="53" applyNumberFormat="1" applyBorder="1" applyAlignment="1">
      <alignment horizontal="center" vertical="center"/>
    </xf>
    <xf numFmtId="176" fontId="4" fillId="0" borderId="3" xfId="53" applyNumberFormat="1" applyBorder="1" applyAlignment="1">
      <alignment horizontal="center" vertical="center"/>
    </xf>
    <xf numFmtId="0" fontId="4" fillId="0" borderId="6" xfId="53" applyBorder="1" applyAlignment="1">
      <alignment horizontal="left" vertical="center"/>
    </xf>
    <xf numFmtId="0" fontId="4" fillId="0" borderId="0" xfId="53" applyAlignment="1">
      <alignment horizontal="left" vertical="center"/>
    </xf>
    <xf numFmtId="176" fontId="4" fillId="0" borderId="0" xfId="53" applyNumberFormat="1">
      <alignment vertical="center"/>
    </xf>
    <xf numFmtId="0" fontId="4" fillId="0" borderId="0" xfId="53" applyAlignment="1">
      <alignment horizontal="right" vertical="center"/>
    </xf>
    <xf numFmtId="43" fontId="4" fillId="0" borderId="0" xfId="1" applyFont="1">
      <alignment vertical="center"/>
    </xf>
    <xf numFmtId="183" fontId="4" fillId="0" borderId="0" xfId="3" applyNumberFormat="1">
      <alignment vertical="center"/>
    </xf>
    <xf numFmtId="177" fontId="4" fillId="0" borderId="0" xfId="53" applyNumberFormat="1">
      <alignment vertical="center"/>
    </xf>
    <xf numFmtId="0" fontId="8" fillId="0" borderId="7" xfId="53" applyFont="1" applyBorder="1" applyAlignment="1">
      <alignment horizontal="center" vertical="center"/>
    </xf>
    <xf numFmtId="179" fontId="13" fillId="0" borderId="2" xfId="53" applyNumberFormat="1" applyFont="1" applyBorder="1">
      <alignment vertical="center"/>
    </xf>
    <xf numFmtId="181" fontId="4" fillId="0" borderId="0" xfId="53" applyNumberFormat="1">
      <alignment vertical="center"/>
    </xf>
    <xf numFmtId="179" fontId="4" fillId="0" borderId="2" xfId="53" applyNumberFormat="1" applyBorder="1">
      <alignment vertical="center"/>
    </xf>
    <xf numFmtId="0" fontId="4" fillId="0" borderId="2" xfId="53" applyBorder="1">
      <alignment vertical="center"/>
    </xf>
    <xf numFmtId="178" fontId="4" fillId="0" borderId="0" xfId="53" applyNumberFormat="1">
      <alignment vertical="center"/>
    </xf>
    <xf numFmtId="179" fontId="4" fillId="0" borderId="0" xfId="53" applyNumberFormat="1">
      <alignment vertical="center"/>
    </xf>
    <xf numFmtId="43" fontId="14" fillId="0" borderId="0" xfId="1" applyFont="1">
      <alignment vertical="center"/>
    </xf>
    <xf numFmtId="178" fontId="4" fillId="0" borderId="0" xfId="51" applyNumberFormat="1"/>
    <xf numFmtId="0" fontId="0" fillId="0" borderId="0" xfId="53" applyFont="1">
      <alignment vertical="center"/>
    </xf>
    <xf numFmtId="180" fontId="4" fillId="0" borderId="0" xfId="53" applyNumberFormat="1">
      <alignment vertical="center"/>
    </xf>
    <xf numFmtId="43" fontId="4" fillId="0" borderId="0" xfId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8" fillId="0" borderId="0" xfId="0" applyFont="1">
      <alignment vertical="center"/>
    </xf>
    <xf numFmtId="17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vertical="center" shrinkToFit="1"/>
    </xf>
    <xf numFmtId="182" fontId="0" fillId="0" borderId="2" xfId="0" applyNumberFormat="1" applyBorder="1">
      <alignment vertical="center"/>
    </xf>
    <xf numFmtId="0" fontId="4" fillId="0" borderId="0" xfId="51" applyAlignment="1">
      <alignment horizontal="center" vertical="center"/>
    </xf>
    <xf numFmtId="182" fontId="4" fillId="0" borderId="0" xfId="51" applyNumberFormat="1" applyAlignment="1">
      <alignment horizontal="center" vertical="center"/>
    </xf>
    <xf numFmtId="177" fontId="0" fillId="0" borderId="0" xfId="0" applyNumberFormat="1">
      <alignment vertical="center"/>
    </xf>
    <xf numFmtId="177" fontId="4" fillId="0" borderId="0" xfId="51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4" fillId="0" borderId="2" xfId="0" applyNumberFormat="1" applyFont="1" applyBorder="1" applyAlignment="1">
      <alignment vertical="center" shrinkToFit="1"/>
    </xf>
    <xf numFmtId="184" fontId="0" fillId="0" borderId="0" xfId="0" applyNumberFormat="1">
      <alignment vertical="center"/>
    </xf>
    <xf numFmtId="1" fontId="0" fillId="0" borderId="2" xfId="0" applyNumberFormat="1" applyBorder="1" applyAlignment="1">
      <alignment horizontal="center" vertical="center"/>
    </xf>
    <xf numFmtId="0" fontId="4" fillId="0" borderId="0" xfId="51"/>
    <xf numFmtId="182" fontId="0" fillId="2" borderId="2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182" fontId="4" fillId="0" borderId="0" xfId="51" applyNumberFormat="1" applyAlignment="1">
      <alignment horizontal="center" vertical="center" shrinkToFit="1"/>
    </xf>
    <xf numFmtId="43" fontId="0" fillId="0" borderId="0" xfId="0" applyNumberFormat="1">
      <alignment vertical="center"/>
    </xf>
    <xf numFmtId="43" fontId="4" fillId="0" borderId="0" xfId="51" applyNumberFormat="1" applyAlignment="1">
      <alignment horizontal="center" vertical="center"/>
    </xf>
    <xf numFmtId="43" fontId="0" fillId="0" borderId="0" xfId="1" applyFont="1">
      <alignment vertical="center"/>
    </xf>
    <xf numFmtId="182" fontId="4" fillId="0" borderId="0" xfId="51" applyNumberFormat="1"/>
    <xf numFmtId="182" fontId="4" fillId="0" borderId="0" xfId="51" applyNumberFormat="1" applyAlignment="1">
      <alignment shrinkToFit="1"/>
    </xf>
    <xf numFmtId="176" fontId="4" fillId="0" borderId="0" xfId="51" applyNumberFormat="1" applyAlignment="1">
      <alignment horizontal="right" vertical="center"/>
    </xf>
    <xf numFmtId="176" fontId="0" fillId="0" borderId="0" xfId="0" applyNumberFormat="1" applyAlignment="1">
      <alignment horizontal="right" vertical="center" shrinkToFit="1"/>
    </xf>
    <xf numFmtId="43" fontId="4" fillId="0" borderId="0" xfId="1" applyFont="1" applyBorder="1" applyAlignment="1">
      <alignment horizontal="center" vertical="center"/>
    </xf>
    <xf numFmtId="178" fontId="4" fillId="0" borderId="0" xfId="51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43" fontId="4" fillId="0" borderId="0" xfId="1" applyFont="1" applyBorder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 shrinkToFit="1"/>
    </xf>
    <xf numFmtId="181" fontId="4" fillId="0" borderId="0" xfId="51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85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3" fontId="5" fillId="0" borderId="0" xfId="0" applyNumberFormat="1" applyFont="1">
      <alignment vertical="center"/>
    </xf>
    <xf numFmtId="43" fontId="0" fillId="2" borderId="0" xfId="0" applyNumberFormat="1" applyFill="1">
      <alignment vertical="center"/>
    </xf>
    <xf numFmtId="43" fontId="4" fillId="2" borderId="0" xfId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187" fontId="0" fillId="0" borderId="0" xfId="0" applyNumberFormat="1">
      <alignment vertical="center"/>
    </xf>
    <xf numFmtId="187" fontId="20" fillId="0" borderId="0" xfId="0" applyNumberFormat="1" applyFont="1">
      <alignment vertical="center"/>
    </xf>
    <xf numFmtId="187" fontId="0" fillId="0" borderId="0" xfId="0" applyNumberFormat="1" applyAlignment="1">
      <alignment horizontal="right" vertical="center"/>
    </xf>
    <xf numFmtId="178" fontId="21" fillId="0" borderId="0" xfId="0" applyNumberFormat="1" applyFont="1" applyAlignment="1">
      <alignment horizontal="center" vertical="center"/>
    </xf>
    <xf numFmtId="178" fontId="4" fillId="0" borderId="1" xfId="0" applyNumberFormat="1" applyFont="1" applyBorder="1" applyAlignment="1">
      <alignment horizontal="left" vertical="center"/>
    </xf>
    <xf numFmtId="178" fontId="0" fillId="0" borderId="1" xfId="0" applyNumberFormat="1" applyBorder="1" applyAlignment="1">
      <alignment horizontal="left" vertical="center"/>
    </xf>
    <xf numFmtId="178" fontId="8" fillId="0" borderId="2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vertical="center" wrapText="1"/>
    </xf>
    <xf numFmtId="178" fontId="0" fillId="0" borderId="6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4" fillId="2" borderId="2" xfId="0" applyNumberFormat="1" applyFont="1" applyFill="1" applyBorder="1" applyAlignment="1">
      <alignment horizontal="right" vertical="center"/>
    </xf>
    <xf numFmtId="178" fontId="5" fillId="0" borderId="6" xfId="0" applyNumberFormat="1" applyFont="1" applyBorder="1" applyAlignment="1">
      <alignment vertical="center" wrapText="1"/>
    </xf>
    <xf numFmtId="178" fontId="8" fillId="0" borderId="2" xfId="0" applyNumberFormat="1" applyFont="1" applyBorder="1" applyAlignment="1">
      <alignment horizontal="left" vertical="center" wrapText="1" shrinkToFit="1"/>
    </xf>
    <xf numFmtId="178" fontId="8" fillId="0" borderId="2" xfId="0" applyNumberFormat="1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 wrapText="1"/>
    </xf>
    <xf numFmtId="178" fontId="4" fillId="2" borderId="0" xfId="0" applyNumberFormat="1" applyFont="1" applyFill="1">
      <alignment vertical="center"/>
    </xf>
    <xf numFmtId="179" fontId="4" fillId="0" borderId="0" xfId="0" applyNumberFormat="1" applyFont="1">
      <alignment vertical="center"/>
    </xf>
    <xf numFmtId="0" fontId="22" fillId="0" borderId="0" xfId="52" applyFont="1" applyAlignment="1">
      <alignment horizontal="center" vertical="center"/>
    </xf>
    <xf numFmtId="0" fontId="4" fillId="0" borderId="1" xfId="52" applyBorder="1" applyAlignment="1">
      <alignment horizontal="left" vertical="center"/>
    </xf>
    <xf numFmtId="0" fontId="4" fillId="0" borderId="8" xfId="52" applyBorder="1" applyAlignment="1">
      <alignment horizontal="center" vertical="center" wrapText="1"/>
    </xf>
    <xf numFmtId="0" fontId="4" fillId="0" borderId="2" xfId="52" applyBorder="1" applyAlignment="1">
      <alignment horizontal="center" vertical="center"/>
    </xf>
    <xf numFmtId="0" fontId="4" fillId="0" borderId="2" xfId="52" applyBorder="1" applyAlignment="1">
      <alignment horizontal="center" vertical="center" wrapText="1"/>
    </xf>
    <xf numFmtId="0" fontId="4" fillId="0" borderId="9" xfId="52" applyBorder="1" applyAlignment="1">
      <alignment horizontal="left" vertical="center"/>
    </xf>
    <xf numFmtId="188" fontId="4" fillId="0" borderId="2" xfId="52" applyNumberFormat="1" applyBorder="1" applyAlignment="1">
      <alignment horizontal="right" vertical="center" wrapText="1"/>
    </xf>
    <xf numFmtId="0" fontId="23" fillId="0" borderId="2" xfId="52" applyFont="1" applyBorder="1" applyAlignment="1">
      <alignment horizontal="left" vertical="center"/>
    </xf>
    <xf numFmtId="0" fontId="4" fillId="0" borderId="2" xfId="52" applyFont="1" applyBorder="1" applyAlignment="1">
      <alignment horizontal="left" vertical="center"/>
    </xf>
    <xf numFmtId="0" fontId="4" fillId="0" borderId="2" xfId="52" applyFont="1" applyBorder="1" applyAlignment="1">
      <alignment horizontal="center" vertical="center"/>
    </xf>
    <xf numFmtId="188" fontId="4" fillId="0" borderId="2" xfId="52" applyNumberFormat="1" applyBorder="1" applyAlignment="1">
      <alignment horizontal="center" vertical="center" wrapText="1"/>
    </xf>
    <xf numFmtId="188" fontId="14" fillId="0" borderId="2" xfId="52" applyNumberFormat="1" applyFont="1" applyBorder="1" applyAlignment="1">
      <alignment horizontal="right" vertical="center" wrapText="1"/>
    </xf>
    <xf numFmtId="176" fontId="0" fillId="0" borderId="2" xfId="0" applyNumberFormat="1" applyBorder="1" applyAlignment="1">
      <alignment horizontal="center" vertical="center"/>
    </xf>
    <xf numFmtId="0" fontId="4" fillId="0" borderId="6" xfId="52" applyBorder="1" applyAlignment="1">
      <alignment vertical="center"/>
    </xf>
    <xf numFmtId="0" fontId="4" fillId="0" borderId="0" xfId="52"/>
    <xf numFmtId="176" fontId="4" fillId="0" borderId="0" xfId="52" applyNumberFormat="1"/>
    <xf numFmtId="177" fontId="4" fillId="0" borderId="0" xfId="52" applyNumberFormat="1"/>
    <xf numFmtId="189" fontId="0" fillId="0" borderId="0" xfId="1" applyNumberFormat="1" applyFont="1">
      <alignment vertical="center"/>
    </xf>
    <xf numFmtId="181" fontId="4" fillId="0" borderId="0" xfId="52" applyNumberFormat="1"/>
    <xf numFmtId="0" fontId="4" fillId="0" borderId="0" xfId="52" applyFont="1"/>
    <xf numFmtId="0" fontId="24" fillId="0" borderId="0" xfId="52" applyFont="1" applyAlignment="1">
      <alignment vertical="center"/>
    </xf>
    <xf numFmtId="176" fontId="14" fillId="0" borderId="0" xfId="52" applyNumberFormat="1" applyFont="1" applyAlignment="1">
      <alignment vertical="center" wrapText="1"/>
    </xf>
    <xf numFmtId="1" fontId="4" fillId="0" borderId="0" xfId="52" applyNumberFormat="1"/>
    <xf numFmtId="0" fontId="3" fillId="0" borderId="0" xfId="52" applyFont="1" applyAlignment="1">
      <alignment vertical="center"/>
    </xf>
    <xf numFmtId="190" fontId="4" fillId="0" borderId="0" xfId="52" applyNumberFormat="1" applyAlignment="1">
      <alignment vertical="center"/>
    </xf>
    <xf numFmtId="190" fontId="3" fillId="0" borderId="0" xfId="52" applyNumberFormat="1" applyFont="1" applyAlignment="1">
      <alignment vertical="center"/>
    </xf>
    <xf numFmtId="0" fontId="3" fillId="0" borderId="0" xfId="52" applyFont="1" applyAlignment="1">
      <alignment vertical="center" wrapText="1"/>
    </xf>
    <xf numFmtId="0" fontId="3" fillId="0" borderId="0" xfId="52" applyFont="1" applyAlignment="1">
      <alignment horizontal="center" vertical="center" wrapText="1"/>
    </xf>
    <xf numFmtId="0" fontId="7" fillId="0" borderId="0" xfId="52" applyFont="1" applyAlignment="1">
      <alignment horizontal="center" vertical="center"/>
    </xf>
    <xf numFmtId="0" fontId="7" fillId="0" borderId="0" xfId="52" applyFont="1" applyAlignment="1">
      <alignment horizontal="center" vertical="center" wrapText="1"/>
    </xf>
    <xf numFmtId="0" fontId="4" fillId="0" borderId="0" xfId="52" applyAlignment="1">
      <alignment horizontal="center" vertical="center"/>
    </xf>
    <xf numFmtId="184" fontId="4" fillId="0" borderId="0" xfId="52" applyNumberFormat="1"/>
    <xf numFmtId="0" fontId="4" fillId="0" borderId="0" xfId="52" applyAlignment="1">
      <alignment horizontal="center"/>
    </xf>
    <xf numFmtId="0" fontId="23" fillId="0" borderId="0" xfId="52" applyFont="1"/>
    <xf numFmtId="4" fontId="4" fillId="0" borderId="0" xfId="52" applyNumberFormat="1"/>
    <xf numFmtId="0" fontId="0" fillId="0" borderId="2" xfId="0" applyBorder="1" applyAlignment="1">
      <alignment horizontal="center" vertical="center" wrapText="1"/>
    </xf>
    <xf numFmtId="188" fontId="0" fillId="0" borderId="0" xfId="0" applyNumberFormat="1">
      <alignment vertical="center"/>
    </xf>
    <xf numFmtId="188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1" fontId="5" fillId="0" borderId="0" xfId="0" applyNumberFormat="1" applyFont="1">
      <alignment vertical="center"/>
    </xf>
    <xf numFmtId="188" fontId="14" fillId="0" borderId="2" xfId="52" applyNumberFormat="1" applyFont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5" fillId="0" borderId="0" xfId="50" applyFont="1" applyAlignment="1">
      <alignment horizontal="center" vertical="center"/>
    </xf>
    <xf numFmtId="0" fontId="4" fillId="0" borderId="1" xfId="50" applyBorder="1" applyAlignment="1">
      <alignment horizontal="left" vertical="center"/>
    </xf>
    <xf numFmtId="0" fontId="8" fillId="0" borderId="8" xfId="50" applyFont="1" applyBorder="1" applyAlignment="1">
      <alignment horizontal="center" vertical="center" wrapText="1"/>
    </xf>
    <xf numFmtId="0" fontId="8" fillId="0" borderId="2" xfId="50" applyFont="1" applyBorder="1" applyAlignment="1">
      <alignment horizontal="center" vertical="center"/>
    </xf>
    <xf numFmtId="0" fontId="8" fillId="0" borderId="2" xfId="50" applyFont="1" applyBorder="1" applyAlignment="1">
      <alignment horizontal="center" vertical="center" wrapText="1"/>
    </xf>
    <xf numFmtId="191" fontId="26" fillId="0" borderId="2" xfId="50" applyNumberFormat="1" applyFont="1" applyBorder="1" applyAlignment="1">
      <alignment horizontal="right" vertical="center"/>
    </xf>
    <xf numFmtId="178" fontId="26" fillId="0" borderId="2" xfId="50" applyNumberFormat="1" applyFont="1" applyBorder="1" applyAlignment="1">
      <alignment horizontal="right" vertical="center"/>
    </xf>
    <xf numFmtId="43" fontId="26" fillId="0" borderId="2" xfId="50" applyNumberFormat="1" applyFont="1" applyBorder="1" applyAlignment="1">
      <alignment horizontal="right" vertical="center"/>
    </xf>
    <xf numFmtId="0" fontId="8" fillId="0" borderId="2" xfId="50" applyFont="1" applyBorder="1" applyAlignment="1">
      <alignment horizontal="center" vertical="center" shrinkToFit="1"/>
    </xf>
    <xf numFmtId="0" fontId="4" fillId="0" borderId="6" xfId="50" applyBorder="1" applyAlignment="1">
      <alignment vertical="center"/>
    </xf>
    <xf numFmtId="0" fontId="14" fillId="0" borderId="0" xfId="50" applyFont="1" applyAlignment="1">
      <alignment vertical="center"/>
    </xf>
    <xf numFmtId="178" fontId="14" fillId="0" borderId="0" xfId="50" applyNumberFormat="1" applyFont="1" applyAlignment="1">
      <alignment vertical="center"/>
    </xf>
    <xf numFmtId="0" fontId="4" fillId="0" borderId="0" xfId="50"/>
    <xf numFmtId="0" fontId="4" fillId="0" borderId="0" xfId="50" applyAlignment="1">
      <alignment vertical="center"/>
    </xf>
    <xf numFmtId="182" fontId="4" fillId="0" borderId="0" xfId="50" applyNumberFormat="1"/>
    <xf numFmtId="0" fontId="8" fillId="0" borderId="3" xfId="50" applyFont="1" applyBorder="1" applyAlignment="1">
      <alignment horizontal="center" vertical="center"/>
    </xf>
    <xf numFmtId="0" fontId="8" fillId="0" borderId="4" xfId="50" applyFont="1" applyBorder="1" applyAlignment="1">
      <alignment horizontal="center" vertical="center"/>
    </xf>
    <xf numFmtId="179" fontId="26" fillId="0" borderId="2" xfId="50" applyNumberFormat="1" applyFont="1" applyBorder="1" applyAlignment="1">
      <alignment horizontal="right" vertical="center"/>
    </xf>
    <xf numFmtId="2" fontId="26" fillId="0" borderId="2" xfId="50" applyNumberFormat="1" applyFont="1" applyBorder="1" applyAlignment="1">
      <alignment horizontal="right" vertical="center"/>
    </xf>
    <xf numFmtId="178" fontId="4" fillId="0" borderId="0" xfId="50" applyNumberFormat="1"/>
    <xf numFmtId="182" fontId="4" fillId="0" borderId="0" xfId="50" applyNumberFormat="1" applyAlignment="1">
      <alignment vertical="center"/>
    </xf>
    <xf numFmtId="177" fontId="4" fillId="0" borderId="0" xfId="50" applyNumberFormat="1"/>
    <xf numFmtId="2" fontId="14" fillId="0" borderId="0" xfId="50" applyNumberFormat="1" applyFont="1" applyAlignment="1">
      <alignment vertical="center"/>
    </xf>
    <xf numFmtId="0" fontId="8" fillId="0" borderId="0" xfId="50" applyFont="1" applyAlignment="1">
      <alignment horizontal="center" vertical="center"/>
    </xf>
    <xf numFmtId="49" fontId="14" fillId="0" borderId="0" xfId="50" applyNumberFormat="1" applyFont="1" applyAlignment="1">
      <alignment vertical="center"/>
    </xf>
    <xf numFmtId="180" fontId="14" fillId="0" borderId="0" xfId="50" applyNumberFormat="1" applyFont="1" applyAlignment="1">
      <alignment vertical="center"/>
    </xf>
    <xf numFmtId="182" fontId="14" fillId="0" borderId="0" xfId="50" applyNumberFormat="1" applyFont="1" applyAlignment="1">
      <alignment vertical="center"/>
    </xf>
    <xf numFmtId="4" fontId="14" fillId="0" borderId="0" xfId="1" applyNumberFormat="1" applyFont="1" applyAlignment="1">
      <alignment vertical="center"/>
    </xf>
    <xf numFmtId="0" fontId="14" fillId="0" borderId="0" xfId="1" applyNumberFormat="1" applyFont="1" applyAlignment="1">
      <alignment vertical="center"/>
    </xf>
    <xf numFmtId="43" fontId="14" fillId="0" borderId="0" xfId="1" applyFont="1" applyAlignment="1">
      <alignment vertical="center"/>
    </xf>
    <xf numFmtId="192" fontId="0" fillId="0" borderId="0" xfId="0" applyNumberFormat="1">
      <alignment vertical="center"/>
    </xf>
    <xf numFmtId="49" fontId="14" fillId="0" borderId="0" xfId="50" applyNumberFormat="1" applyFont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_测算表" xfId="51"/>
    <cellStyle name="常规_产成品" xfId="52"/>
    <cellStyle name="常规_原材料进销存月结表" xfId="53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79"/>
  <sheetViews>
    <sheetView workbookViewId="0">
      <selection activeCell="J5" sqref="J5:J7"/>
    </sheetView>
  </sheetViews>
  <sheetFormatPr defaultColWidth="9" defaultRowHeight="17.6"/>
  <cols>
    <col min="1" max="1" width="19.5982142857143" customWidth="1"/>
    <col min="2" max="2" width="8.79464285714286" customWidth="1"/>
    <col min="3" max="4" width="9.69642857142857" customWidth="1"/>
    <col min="5" max="5" width="11.5" customWidth="1"/>
    <col min="6" max="6" width="10.6964285714286" customWidth="1"/>
    <col min="7" max="7" width="11.4017857142857" customWidth="1"/>
    <col min="8" max="8" width="10.6964285714286" customWidth="1"/>
    <col min="9" max="9" width="6.09821428571429" customWidth="1"/>
    <col min="10" max="10" width="10.6964285714286" customWidth="1"/>
    <col min="11" max="11" width="8.79464285714286" customWidth="1"/>
    <col min="12" max="12" width="9.69642857142857" customWidth="1"/>
    <col min="14" max="14" width="13.1964285714286" customWidth="1"/>
    <col min="15" max="15" width="10.5" customWidth="1"/>
    <col min="17" max="17" width="4.40178571428571" customWidth="1"/>
    <col min="18" max="18" width="15.0982142857143" customWidth="1"/>
    <col min="19" max="19" width="12.6964285714286" customWidth="1"/>
    <col min="20" max="20" width="13.9017857142857" customWidth="1"/>
    <col min="21" max="21" width="11.5982142857143" customWidth="1"/>
    <col min="22" max="22" width="13.9017857142857" customWidth="1"/>
  </cols>
  <sheetData>
    <row r="1" ht="55.5" customHeight="1" spans="1:27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</row>
    <row r="2" ht="33.75" customHeight="1" spans="1:27">
      <c r="A2" s="207" t="s">
        <v>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</row>
    <row r="3" ht="33" customHeight="1" spans="1:27">
      <c r="A3" s="208" t="s">
        <v>2</v>
      </c>
      <c r="B3" s="209" t="s">
        <v>3</v>
      </c>
      <c r="C3" s="209"/>
      <c r="D3" s="209" t="s">
        <v>4</v>
      </c>
      <c r="E3" s="209"/>
      <c r="F3" s="221" t="s">
        <v>5</v>
      </c>
      <c r="G3" s="222"/>
      <c r="H3" s="209" t="s">
        <v>6</v>
      </c>
      <c r="I3" s="209"/>
      <c r="J3" s="209"/>
      <c r="K3" s="209" t="s">
        <v>7</v>
      </c>
      <c r="L3" s="209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</row>
    <row r="4" ht="33" customHeight="1" spans="1:27">
      <c r="A4" s="208"/>
      <c r="B4" s="209" t="s">
        <v>8</v>
      </c>
      <c r="C4" s="209" t="s">
        <v>9</v>
      </c>
      <c r="D4" s="209" t="s">
        <v>8</v>
      </c>
      <c r="E4" s="209" t="s">
        <v>9</v>
      </c>
      <c r="F4" s="209" t="s">
        <v>8</v>
      </c>
      <c r="G4" s="209" t="s">
        <v>9</v>
      </c>
      <c r="H4" s="209" t="s">
        <v>8</v>
      </c>
      <c r="I4" s="209" t="s">
        <v>10</v>
      </c>
      <c r="J4" s="209" t="s">
        <v>9</v>
      </c>
      <c r="K4" s="209" t="s">
        <v>8</v>
      </c>
      <c r="L4" s="209" t="s">
        <v>9</v>
      </c>
      <c r="M4" s="216"/>
      <c r="N4" s="229" t="s">
        <v>11</v>
      </c>
      <c r="P4" s="216"/>
      <c r="Q4" s="216"/>
      <c r="R4" s="216" t="s">
        <v>12</v>
      </c>
      <c r="S4" s="216" t="s">
        <v>8</v>
      </c>
      <c r="T4" s="216" t="s">
        <v>9</v>
      </c>
      <c r="U4" s="216" t="s">
        <v>13</v>
      </c>
      <c r="V4" s="216" t="s">
        <v>14</v>
      </c>
      <c r="W4" s="216"/>
      <c r="X4" s="216"/>
      <c r="Y4" s="216"/>
      <c r="Z4" s="216"/>
      <c r="AA4" s="216"/>
    </row>
    <row r="5" ht="39.75" customHeight="1" spans="1:27">
      <c r="A5" s="210" t="s">
        <v>15</v>
      </c>
      <c r="B5" s="211">
        <v>39659.65</v>
      </c>
      <c r="C5" s="212">
        <v>280473.77</v>
      </c>
      <c r="D5" s="212">
        <v>117797.64</v>
      </c>
      <c r="E5" s="212">
        <v>899979.53</v>
      </c>
      <c r="F5" s="223">
        <f>S5</f>
        <v>158313.76</v>
      </c>
      <c r="G5" s="224">
        <f>E5/D5*D5*测算表!$G$25*0+V5</f>
        <v>1140701.03517312</v>
      </c>
      <c r="H5" s="223">
        <f>D5</f>
        <v>117797.64</v>
      </c>
      <c r="I5" s="212">
        <f>(C5+G5)/(B5+F5)</f>
        <v>7.178614568356</v>
      </c>
      <c r="J5" s="212">
        <f>H5*I5</f>
        <v>845623.854621955</v>
      </c>
      <c r="K5" s="212">
        <f>B5+F5-H5</f>
        <v>80175.77</v>
      </c>
      <c r="L5" s="212">
        <f>C5+G5-J5</f>
        <v>575550.95055116</v>
      </c>
      <c r="M5" s="230"/>
      <c r="N5" s="231">
        <f>E6/D6</f>
        <v>3.48332038280246</v>
      </c>
      <c r="O5" s="216"/>
      <c r="P5" s="216"/>
      <c r="Q5" s="216"/>
      <c r="R5" s="216" t="s">
        <v>15</v>
      </c>
      <c r="S5" s="233">
        <f>37691.85+40446.14+39755.65+40420.12</f>
        <v>158313.76</v>
      </c>
      <c r="T5" s="233">
        <f>284579.9+316238.53+301852.32+315439.03</f>
        <v>1218109.78</v>
      </c>
      <c r="U5" s="237" t="s">
        <v>16</v>
      </c>
      <c r="V5" s="235">
        <f>T5*测算表!$G$25</f>
        <v>1140701.03517312</v>
      </c>
      <c r="W5" s="216"/>
      <c r="X5" s="216"/>
      <c r="Y5" s="216"/>
      <c r="Z5" s="216"/>
      <c r="AA5" s="216"/>
    </row>
    <row r="6" ht="39.75" customHeight="1" spans="1:27">
      <c r="A6" s="209" t="s">
        <v>17</v>
      </c>
      <c r="B6" s="211"/>
      <c r="C6" s="213"/>
      <c r="D6" s="212">
        <v>35005</v>
      </c>
      <c r="E6" s="212">
        <v>121933.63</v>
      </c>
      <c r="F6" s="223">
        <f>D6-B6</f>
        <v>35005</v>
      </c>
      <c r="G6" s="212">
        <f>E6/D6*F6*测算表!$G$25</f>
        <v>114184.961197352</v>
      </c>
      <c r="H6" s="223">
        <f>D6</f>
        <v>35005</v>
      </c>
      <c r="I6" s="212">
        <f>(C6+G6)/(B6+F6)</f>
        <v>3.26196146828603</v>
      </c>
      <c r="J6" s="212">
        <f>H6*I6</f>
        <v>114184.961197352</v>
      </c>
      <c r="K6" s="212">
        <f>B6+F6-H6</f>
        <v>0</v>
      </c>
      <c r="L6" s="212">
        <f>C6+G6-J6</f>
        <v>0</v>
      </c>
      <c r="M6" s="230"/>
      <c r="N6" s="231">
        <f>E7/D7</f>
        <v>7.79680971106172</v>
      </c>
      <c r="O6" s="216"/>
      <c r="P6" s="216"/>
      <c r="Q6" s="216"/>
      <c r="R6" s="216"/>
      <c r="S6" s="234"/>
      <c r="T6" s="234"/>
      <c r="U6" s="216"/>
      <c r="V6" s="235"/>
      <c r="W6" s="216"/>
      <c r="X6" s="216"/>
      <c r="Y6" s="216"/>
      <c r="Z6" s="216"/>
      <c r="AA6" s="216"/>
    </row>
    <row r="7" ht="39.75" customHeight="1" spans="1:27">
      <c r="A7" s="209" t="s">
        <v>18</v>
      </c>
      <c r="B7" s="211"/>
      <c r="C7" s="212"/>
      <c r="D7" s="212">
        <v>5849</v>
      </c>
      <c r="E7" s="212">
        <v>45603.54</v>
      </c>
      <c r="F7" s="223">
        <f t="shared" ref="F7" si="0">D7-B7</f>
        <v>5849</v>
      </c>
      <c r="G7" s="212">
        <f>E7/D7*F7*测算表!$G$25</f>
        <v>42705.514839195</v>
      </c>
      <c r="H7" s="223">
        <f t="shared" ref="H7" si="1">D7</f>
        <v>5849</v>
      </c>
      <c r="I7" s="212">
        <f t="shared" ref="I7" si="2">(C7+G7)/(B7+F7)</f>
        <v>7.30133609834074</v>
      </c>
      <c r="J7" s="212">
        <f t="shared" ref="J7" si="3">H7*I7</f>
        <v>42705.514839195</v>
      </c>
      <c r="K7" s="212">
        <f t="shared" ref="K7" si="4">B7+F7-H7</f>
        <v>0</v>
      </c>
      <c r="L7" s="212">
        <f t="shared" ref="L7" si="5">C7+G7-J7</f>
        <v>0</v>
      </c>
      <c r="M7" s="230"/>
      <c r="N7" s="231" t="e">
        <f>E10/D10</f>
        <v>#DIV/0!</v>
      </c>
      <c r="O7" s="216"/>
      <c r="P7" s="216"/>
      <c r="Q7" s="216"/>
      <c r="R7" s="216"/>
      <c r="S7" s="234"/>
      <c r="T7" s="234"/>
      <c r="U7" s="216"/>
      <c r="V7" s="235"/>
      <c r="W7" s="216"/>
      <c r="X7" s="216"/>
      <c r="Y7" s="216"/>
      <c r="Z7" s="216"/>
      <c r="AA7" s="216"/>
    </row>
    <row r="8" ht="39.75" customHeight="1" spans="1:27">
      <c r="A8" s="209"/>
      <c r="B8" s="211"/>
      <c r="C8" s="213"/>
      <c r="D8" s="212"/>
      <c r="E8" s="212"/>
      <c r="F8" s="223"/>
      <c r="G8" s="212"/>
      <c r="H8" s="223"/>
      <c r="I8" s="212"/>
      <c r="J8" s="212"/>
      <c r="K8" s="212"/>
      <c r="L8" s="212"/>
      <c r="M8" s="230"/>
      <c r="N8" s="231"/>
      <c r="P8" s="216"/>
      <c r="Q8" s="216"/>
      <c r="R8" s="216"/>
      <c r="S8" s="234"/>
      <c r="T8" s="234"/>
      <c r="U8" s="216"/>
      <c r="V8" s="235"/>
      <c r="W8" s="216"/>
      <c r="X8" s="216"/>
      <c r="Y8" s="216"/>
      <c r="Z8" s="216"/>
      <c r="AA8" s="216"/>
    </row>
    <row r="9" ht="39.75" customHeight="1" spans="1:27">
      <c r="A9" s="214"/>
      <c r="B9" s="211"/>
      <c r="C9" s="213"/>
      <c r="D9" s="212"/>
      <c r="E9" s="212"/>
      <c r="F9" s="223"/>
      <c r="G9" s="212"/>
      <c r="H9" s="223"/>
      <c r="I9" s="212"/>
      <c r="J9" s="212"/>
      <c r="K9" s="212"/>
      <c r="L9" s="212"/>
      <c r="M9" s="230"/>
      <c r="N9" s="231"/>
      <c r="O9" s="216"/>
      <c r="P9" s="216"/>
      <c r="Q9" s="216"/>
      <c r="R9" s="216"/>
      <c r="S9" s="235">
        <f>SUM(S5:S8)</f>
        <v>158313.76</v>
      </c>
      <c r="T9" s="235">
        <f>SUM(T5:T8)</f>
        <v>1218109.78</v>
      </c>
      <c r="U9" s="216">
        <f>T9/S9</f>
        <v>7.69427610082661</v>
      </c>
      <c r="V9" s="235">
        <f>SUM(V5:V8)</f>
        <v>1140701.03517312</v>
      </c>
      <c r="W9" s="216"/>
      <c r="X9" s="216"/>
      <c r="Y9" s="216"/>
      <c r="Z9" s="216"/>
      <c r="AA9" s="216"/>
    </row>
    <row r="10" ht="39.75" customHeight="1" spans="1:27">
      <c r="A10" s="209"/>
      <c r="B10" s="212"/>
      <c r="C10" s="213"/>
      <c r="D10" s="212"/>
      <c r="E10" s="212"/>
      <c r="F10" s="223"/>
      <c r="G10" s="212"/>
      <c r="H10" s="223"/>
      <c r="I10" s="212"/>
      <c r="J10" s="212"/>
      <c r="K10" s="212"/>
      <c r="L10" s="212"/>
      <c r="M10" s="230"/>
      <c r="N10" s="230"/>
      <c r="O10" s="217"/>
      <c r="P10" s="216"/>
      <c r="Q10" s="216"/>
      <c r="R10" s="216"/>
      <c r="S10" s="235"/>
      <c r="T10" s="235"/>
      <c r="U10" s="216"/>
      <c r="V10" s="235"/>
      <c r="W10" s="216"/>
      <c r="X10" s="216"/>
      <c r="Y10" s="216"/>
      <c r="Z10" s="216"/>
      <c r="AA10" s="216"/>
    </row>
    <row r="11" ht="39.75" customHeight="1" spans="1:27">
      <c r="A11" s="209"/>
      <c r="B11" s="211"/>
      <c r="C11" s="213"/>
      <c r="D11" s="212"/>
      <c r="E11" s="213"/>
      <c r="F11" s="223"/>
      <c r="G11" s="212"/>
      <c r="H11" s="223"/>
      <c r="I11" s="212"/>
      <c r="J11" s="212"/>
      <c r="K11" s="212"/>
      <c r="L11" s="212"/>
      <c r="M11" s="230"/>
      <c r="N11" s="230"/>
      <c r="O11" s="216"/>
      <c r="R11" s="217"/>
      <c r="S11" s="216"/>
      <c r="T11" s="216"/>
      <c r="U11" s="216"/>
      <c r="V11" s="216"/>
      <c r="W11" s="216"/>
      <c r="X11" s="216"/>
      <c r="Y11" s="216"/>
      <c r="Z11" s="216"/>
      <c r="AA11" s="216"/>
    </row>
    <row r="12" ht="39.75" customHeight="1" spans="1:27">
      <c r="A12" s="209" t="s">
        <v>19</v>
      </c>
      <c r="B12" s="212">
        <f>SUM(B5:B11)</f>
        <v>39659.65</v>
      </c>
      <c r="C12" s="212">
        <f t="shared" ref="C12:H12" si="6">SUM(C5:C11)</f>
        <v>280473.77</v>
      </c>
      <c r="D12" s="212">
        <f t="shared" si="6"/>
        <v>158651.64</v>
      </c>
      <c r="E12" s="212">
        <f t="shared" si="6"/>
        <v>1067516.7</v>
      </c>
      <c r="F12" s="212">
        <f t="shared" si="6"/>
        <v>199167.76</v>
      </c>
      <c r="G12" s="212">
        <f t="shared" si="6"/>
        <v>1297591.51120966</v>
      </c>
      <c r="H12" s="212">
        <f t="shared" si="6"/>
        <v>158651.64</v>
      </c>
      <c r="I12" s="212"/>
      <c r="J12" s="212">
        <f t="shared" ref="J12:L12" si="7">SUM(J5:J11)</f>
        <v>1002514.3306585</v>
      </c>
      <c r="K12" s="212">
        <f t="shared" si="7"/>
        <v>80175.77</v>
      </c>
      <c r="L12" s="212">
        <f t="shared" si="7"/>
        <v>575550.95055116</v>
      </c>
      <c r="M12" s="232"/>
      <c r="N12" s="230"/>
      <c r="O12" s="216"/>
      <c r="R12" s="236"/>
      <c r="W12" s="216"/>
      <c r="X12" s="216"/>
      <c r="Y12" s="216"/>
      <c r="Z12" s="216"/>
      <c r="AA12" s="216"/>
    </row>
    <row r="13" ht="30.75" customHeight="1" spans="1:27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32"/>
      <c r="N13" s="216"/>
      <c r="O13" s="216"/>
      <c r="W13" s="216"/>
      <c r="X13" s="216"/>
      <c r="Y13" s="216"/>
      <c r="Z13" s="216"/>
      <c r="AA13" s="216"/>
    </row>
    <row r="14" spans="1:27">
      <c r="A14" s="216"/>
      <c r="B14" s="216"/>
      <c r="C14" s="216"/>
      <c r="D14" s="217"/>
      <c r="E14" s="217"/>
      <c r="F14" s="216"/>
      <c r="G14" s="216"/>
      <c r="H14" s="216"/>
      <c r="I14" s="216"/>
      <c r="J14" s="228">
        <f>H10*I10</f>
        <v>0</v>
      </c>
      <c r="K14" s="216"/>
      <c r="L14" s="216"/>
      <c r="M14" s="216"/>
      <c r="N14" s="216"/>
      <c r="O14" s="216"/>
      <c r="W14" s="216"/>
      <c r="X14" s="216"/>
      <c r="Y14" s="216"/>
      <c r="Z14" s="216"/>
      <c r="AA14" s="216"/>
    </row>
    <row r="15" spans="1:27">
      <c r="A15" s="216"/>
      <c r="B15" s="216"/>
      <c r="C15" s="216"/>
      <c r="D15" s="216"/>
      <c r="E15" s="217"/>
      <c r="F15" s="216"/>
      <c r="G15" s="216"/>
      <c r="H15" s="216"/>
      <c r="I15" s="216"/>
      <c r="J15" s="219"/>
      <c r="K15" s="216"/>
      <c r="L15" s="216"/>
      <c r="M15" s="216"/>
      <c r="N15" s="216"/>
      <c r="O15" s="216"/>
      <c r="W15" s="216"/>
      <c r="X15" s="216"/>
      <c r="Y15" s="216"/>
      <c r="Z15" s="216"/>
      <c r="AA15" s="216"/>
    </row>
    <row r="16" spans="1:27">
      <c r="A16" s="218"/>
      <c r="B16" s="218"/>
      <c r="C16" s="218"/>
      <c r="D16" s="218"/>
      <c r="E16" s="225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W16" s="218"/>
      <c r="X16" s="218"/>
      <c r="Y16" s="218"/>
      <c r="Z16" s="218"/>
      <c r="AA16" s="218"/>
    </row>
    <row r="17" spans="1:27">
      <c r="A17" s="218"/>
      <c r="B17" s="218"/>
      <c r="C17" s="218"/>
      <c r="D17" s="218"/>
      <c r="E17" s="225">
        <f>E6+E7</f>
        <v>167537.17</v>
      </c>
      <c r="F17" s="218"/>
      <c r="G17" s="225"/>
      <c r="H17" s="218"/>
      <c r="I17" s="218"/>
      <c r="J17" s="218"/>
      <c r="K17" s="218"/>
      <c r="L17" s="218"/>
      <c r="M17" s="218"/>
      <c r="N17" s="218"/>
      <c r="O17" s="218"/>
      <c r="W17" s="218"/>
      <c r="X17" s="218"/>
      <c r="Y17" s="218"/>
      <c r="Z17" s="218"/>
      <c r="AA17" s="218"/>
    </row>
    <row r="18" spans="1:27">
      <c r="A18" s="219"/>
      <c r="B18" s="219"/>
      <c r="C18" s="219"/>
      <c r="D18" s="219"/>
      <c r="E18" s="219"/>
      <c r="F18" s="226"/>
      <c r="G18" s="219"/>
      <c r="H18" s="219"/>
      <c r="I18" s="219"/>
      <c r="J18" s="219"/>
      <c r="K18" s="219"/>
      <c r="L18" s="219"/>
      <c r="M18" s="219"/>
      <c r="N18" s="219"/>
      <c r="O18" s="219"/>
      <c r="W18" s="219"/>
      <c r="X18" s="219"/>
      <c r="Y18" s="219"/>
      <c r="Z18" s="219"/>
      <c r="AA18" s="219"/>
    </row>
    <row r="19" spans="1:27">
      <c r="A19" s="218"/>
      <c r="B19" s="218"/>
      <c r="C19" s="218"/>
      <c r="D19" s="218"/>
      <c r="E19" s="227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W19" s="218"/>
      <c r="X19" s="218"/>
      <c r="Y19" s="218"/>
      <c r="Z19" s="218"/>
      <c r="AA19" s="218"/>
    </row>
    <row r="20" spans="1:27">
      <c r="A20" s="218"/>
      <c r="B20" s="218"/>
      <c r="C20" s="218"/>
      <c r="D20" s="220"/>
      <c r="E20" s="226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W20" s="218"/>
      <c r="X20" s="218"/>
      <c r="Y20" s="218"/>
      <c r="Z20" s="218"/>
      <c r="AA20" s="218"/>
    </row>
    <row r="21" spans="1:27">
      <c r="A21" s="218"/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W21" s="218"/>
      <c r="X21" s="218"/>
      <c r="Y21" s="218"/>
      <c r="Z21" s="218"/>
      <c r="AA21" s="218"/>
    </row>
    <row r="22" spans="1:27">
      <c r="A22" s="218"/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W22" s="218"/>
      <c r="X22" s="218"/>
      <c r="Y22" s="218"/>
      <c r="Z22" s="218"/>
      <c r="AA22" s="218"/>
    </row>
    <row r="23" spans="1:27">
      <c r="A23" s="218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</row>
    <row r="24" spans="1:27">
      <c r="A24" s="218"/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</row>
    <row r="25" spans="1:27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</row>
    <row r="26" spans="1:27">
      <c r="A26" s="218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</row>
    <row r="27" spans="1:27">
      <c r="A27" s="218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</row>
    <row r="28" spans="1:27">
      <c r="A28" s="218"/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</row>
    <row r="29" spans="1:27">
      <c r="A29" s="218"/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</row>
    <row r="30" spans="1:27">
      <c r="A30" s="218"/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</row>
    <row r="31" spans="1:27">
      <c r="A31" s="218"/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</row>
    <row r="32" spans="1:27">
      <c r="A32" s="218"/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</row>
    <row r="33" spans="1:27">
      <c r="A33" s="218"/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</row>
    <row r="34" spans="1:27">
      <c r="A34" s="218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</row>
    <row r="35" spans="1:27">
      <c r="A35" s="218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</row>
    <row r="36" spans="1:27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</row>
    <row r="37" spans="1:27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</row>
    <row r="38" spans="1:27">
      <c r="A38" s="218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</row>
    <row r="39" spans="1:27">
      <c r="A39" s="218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</row>
    <row r="40" spans="1:27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</row>
    <row r="41" spans="1:27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</row>
    <row r="42" spans="1:27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</row>
    <row r="43" spans="1:27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</row>
    <row r="44" spans="1:27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</row>
    <row r="45" spans="1:27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</row>
    <row r="46" spans="1:27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</row>
    <row r="47" spans="1:27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8"/>
      <c r="S47" s="218"/>
      <c r="T47" s="218"/>
      <c r="U47" s="218"/>
      <c r="V47" s="218"/>
      <c r="W47" s="216"/>
      <c r="X47" s="216"/>
      <c r="Y47" s="216"/>
      <c r="Z47" s="216"/>
      <c r="AA47" s="216"/>
    </row>
    <row r="48" spans="1:27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</row>
    <row r="49" spans="1:27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</row>
    <row r="50" spans="1:27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</row>
    <row r="51" spans="1:27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</row>
    <row r="52" spans="1:27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</row>
    <row r="53" spans="1:27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</row>
    <row r="54" spans="1:27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</row>
    <row r="55" spans="1:27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</row>
    <row r="56" spans="1:27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</row>
    <row r="57" spans="1:27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</row>
    <row r="58" spans="1:27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spans="1:27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</row>
    <row r="60" spans="1:27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</row>
    <row r="61" spans="1:27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</row>
    <row r="62" spans="1:27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</row>
    <row r="63" spans="1:27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</row>
    <row r="64" spans="1:27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</row>
    <row r="65" spans="1:27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</row>
    <row r="66" spans="1:27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</row>
    <row r="67" spans="1:27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</row>
    <row r="68" spans="1:27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</row>
    <row r="69" spans="1:27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</row>
    <row r="70" spans="1:27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</row>
    <row r="71" spans="1:27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</row>
    <row r="72" spans="1:27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</row>
    <row r="73" spans="1:27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</row>
    <row r="74" spans="1:27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</row>
    <row r="75" spans="1:27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</row>
    <row r="76" spans="1:27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</row>
    <row r="77" spans="1:27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</row>
    <row r="78" spans="1:27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</row>
    <row r="79" spans="18:22">
      <c r="R79" s="216"/>
      <c r="S79" s="216"/>
      <c r="T79" s="216"/>
      <c r="U79" s="216"/>
      <c r="V79" s="216"/>
    </row>
  </sheetData>
  <mergeCells count="8">
    <mergeCell ref="A1:L1"/>
    <mergeCell ref="A2:L2"/>
    <mergeCell ref="B3:C3"/>
    <mergeCell ref="D3:E3"/>
    <mergeCell ref="F3:G3"/>
    <mergeCell ref="H3:J3"/>
    <mergeCell ref="K3:L3"/>
    <mergeCell ref="A3:A4"/>
  </mergeCells>
  <printOptions horizontalCentered="1"/>
  <pageMargins left="0.393700787401575" right="0.393700787401575" top="0.393700787401575" bottom="0.393700787401575" header="0.196850393700787" footer="0.196850393700787"/>
  <pageSetup paperSize="11" scale="71" orientation="landscape" blackAndWhite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64"/>
  <sheetViews>
    <sheetView workbookViewId="0">
      <selection activeCell="B8" sqref="B8"/>
    </sheetView>
  </sheetViews>
  <sheetFormatPr defaultColWidth="9" defaultRowHeight="17.6"/>
  <cols>
    <col min="1" max="1" width="20.1964285714286" customWidth="1"/>
    <col min="2" max="9" width="13.6964285714286" customWidth="1"/>
    <col min="11" max="11" width="10.5" customWidth="1"/>
    <col min="12" max="12" width="18.9017857142857" style="55" customWidth="1"/>
    <col min="13" max="13" width="8.09821428571429" style="55" customWidth="1"/>
    <col min="15" max="15" width="12.5982142857143" customWidth="1"/>
  </cols>
  <sheetData>
    <row r="1" ht="24.75" customHeight="1" spans="1:9">
      <c r="A1" s="163" t="s">
        <v>20</v>
      </c>
      <c r="B1" s="163"/>
      <c r="C1" s="163"/>
      <c r="D1" s="163"/>
      <c r="E1" s="163"/>
      <c r="F1" s="163"/>
      <c r="G1" s="163"/>
      <c r="H1" s="163"/>
      <c r="I1" s="163"/>
    </row>
    <row r="2" ht="20.25" customHeight="1" spans="1:9">
      <c r="A2" s="164" t="s">
        <v>21</v>
      </c>
      <c r="B2" s="164"/>
      <c r="C2" s="164"/>
      <c r="D2" s="164"/>
      <c r="E2" s="164"/>
      <c r="F2" s="164"/>
      <c r="G2" s="164"/>
      <c r="H2" s="164"/>
      <c r="I2" s="164"/>
    </row>
    <row r="3" ht="45.75" customHeight="1" spans="1:13">
      <c r="A3" s="165" t="s">
        <v>22</v>
      </c>
      <c r="B3" s="166" t="s">
        <v>23</v>
      </c>
      <c r="C3" s="167" t="str">
        <f>销售成本!A5</f>
        <v>铁制导轨（千克</v>
      </c>
      <c r="D3" s="167" t="str">
        <f>销售成本!A6</f>
        <v>滑轨（付</v>
      </c>
      <c r="E3" s="167" t="str">
        <f>销售成本!A7</f>
        <v>三节滑轨（付</v>
      </c>
      <c r="F3" s="167"/>
      <c r="G3" s="167"/>
      <c r="H3" s="167"/>
      <c r="I3" s="198"/>
      <c r="K3" s="55"/>
      <c r="L3" s="141">
        <f>生产成本月结表!J4</f>
        <v>-2014.47572849656</v>
      </c>
      <c r="M3" s="201">
        <f>生产成本月结表!E4-测算表!K7</f>
        <v>177431.243599295</v>
      </c>
    </row>
    <row r="4" ht="22.5" customHeight="1" spans="1:12">
      <c r="A4" s="168" t="s">
        <v>24</v>
      </c>
      <c r="B4" s="169">
        <f>B5+B7</f>
        <v>1077412.06702101</v>
      </c>
      <c r="C4" s="169">
        <f>C5+C7</f>
        <v>947143.264688248</v>
      </c>
      <c r="D4" s="169">
        <f t="shared" ref="D4:G4" si="0">D5+D7</f>
        <v>94809.6947333342</v>
      </c>
      <c r="E4" s="169">
        <f t="shared" si="0"/>
        <v>35459.1075994325</v>
      </c>
      <c r="F4" s="169"/>
      <c r="G4" s="169"/>
      <c r="H4" s="169"/>
      <c r="I4" s="169"/>
      <c r="J4" s="199"/>
      <c r="K4" s="200">
        <f>SUM(C4:I4)-B4</f>
        <v>0</v>
      </c>
      <c r="L4" s="141">
        <f>生产成本月结表!J5</f>
        <v>-19.1840628109821</v>
      </c>
    </row>
    <row r="5" ht="22.5" customHeight="1" spans="1:13">
      <c r="A5" s="170" t="s">
        <v>25</v>
      </c>
      <c r="B5" s="169">
        <f>B16-B8-B7</f>
        <v>938011.81097176</v>
      </c>
      <c r="C5" s="169">
        <f>B5/B16*C16</f>
        <v>824597.7524796</v>
      </c>
      <c r="D5" s="169">
        <f t="shared" ref="D5:G5" si="1">C5/C16*D16</f>
        <v>82542.8043519026</v>
      </c>
      <c r="E5" s="169">
        <f t="shared" si="1"/>
        <v>30871.2541402578</v>
      </c>
      <c r="F5" s="169"/>
      <c r="G5" s="169"/>
      <c r="H5" s="169"/>
      <c r="I5" s="169"/>
      <c r="J5" s="199"/>
      <c r="K5" s="200">
        <f>SUM(C5:I5)-B5</f>
        <v>0</v>
      </c>
      <c r="L5" s="201">
        <f>生产成本月结表!E6</f>
        <v>2376.29581135161</v>
      </c>
      <c r="M5" s="55" t="s">
        <v>26</v>
      </c>
    </row>
    <row r="6" ht="22.5" customHeight="1" spans="1:11">
      <c r="A6" s="170" t="s">
        <v>27</v>
      </c>
      <c r="B6" s="169"/>
      <c r="C6" s="169"/>
      <c r="D6" s="169"/>
      <c r="E6" s="169"/>
      <c r="F6" s="169"/>
      <c r="G6" s="169"/>
      <c r="H6" s="169"/>
      <c r="I6" s="169"/>
      <c r="J6" s="199"/>
      <c r="K6" s="200"/>
    </row>
    <row r="7" ht="22.5" customHeight="1" spans="1:11">
      <c r="A7" s="170" t="s">
        <v>28</v>
      </c>
      <c r="B7" s="169">
        <f>B16*0.10743</f>
        <v>139400.256049254</v>
      </c>
      <c r="C7" s="169">
        <f>B7/B16*C16</f>
        <v>122545.512208648</v>
      </c>
      <c r="D7" s="169">
        <f t="shared" ref="D7:G7" si="2">C7/C16*D16</f>
        <v>12266.8903814316</v>
      </c>
      <c r="E7" s="169">
        <f t="shared" si="2"/>
        <v>4587.85345917472</v>
      </c>
      <c r="F7" s="169"/>
      <c r="G7" s="169"/>
      <c r="H7" s="169"/>
      <c r="I7" s="169"/>
      <c r="J7" s="199"/>
      <c r="K7" s="200">
        <f>SUM(C7:I7)-B7</f>
        <v>0</v>
      </c>
    </row>
    <row r="8" ht="22.5" customHeight="1" spans="1:15">
      <c r="A8" s="171" t="s">
        <v>29</v>
      </c>
      <c r="B8" s="169">
        <f>B9+B10+B11+B13</f>
        <v>220179.444188648</v>
      </c>
      <c r="C8" s="169">
        <f t="shared" ref="C8" si="3">C9+C10+C11+C13</f>
        <v>193557.770484868</v>
      </c>
      <c r="D8" s="169">
        <f t="shared" ref="D8:G8" si="4">D9+D10+D11+D13</f>
        <v>19375.2664640183</v>
      </c>
      <c r="E8" s="169">
        <f t="shared" si="4"/>
        <v>7246.40723976248</v>
      </c>
      <c r="F8" s="169"/>
      <c r="G8" s="169"/>
      <c r="H8" s="169"/>
      <c r="I8" s="169"/>
      <c r="J8" s="199"/>
      <c r="K8" s="200">
        <f>SUM(C8:I8)-B8</f>
        <v>0</v>
      </c>
      <c r="L8" s="202"/>
      <c r="O8" s="41" t="s">
        <v>30</v>
      </c>
    </row>
    <row r="9" ht="22.5" customHeight="1" spans="1:15">
      <c r="A9" s="170" t="s">
        <v>31</v>
      </c>
      <c r="B9" s="169">
        <f>B16/65*电费!D63</f>
        <v>12706.8441886484</v>
      </c>
      <c r="C9" s="169">
        <f>B9/B16*C16</f>
        <v>11170.4725212499</v>
      </c>
      <c r="D9" s="169">
        <f t="shared" ref="D9:G9" si="5">C9/C16*D16</f>
        <v>1118.17201182906</v>
      </c>
      <c r="E9" s="169">
        <f t="shared" si="5"/>
        <v>418.199655569403</v>
      </c>
      <c r="F9" s="169"/>
      <c r="G9" s="169"/>
      <c r="H9" s="169"/>
      <c r="I9" s="169"/>
      <c r="J9" s="199"/>
      <c r="K9" s="200">
        <f>SUM(C9:I9)-B9</f>
        <v>0</v>
      </c>
      <c r="L9" s="203"/>
      <c r="O9" s="205">
        <f>-25000+63716.81-B11</f>
        <v>-165188.19</v>
      </c>
    </row>
    <row r="10" ht="22.5" customHeight="1" spans="1:11">
      <c r="A10" s="170" t="s">
        <v>32</v>
      </c>
      <c r="B10" s="169">
        <f>测算表!B9</f>
        <v>3567.6</v>
      </c>
      <c r="C10" s="169">
        <f>B10/B16*C16</f>
        <v>3136.24509556926</v>
      </c>
      <c r="D10" s="169">
        <f t="shared" ref="D10:G10" si="6">C10/C16*D16</f>
        <v>313.940299430529</v>
      </c>
      <c r="E10" s="169">
        <f t="shared" si="6"/>
        <v>117.414605000213</v>
      </c>
      <c r="F10" s="169"/>
      <c r="G10" s="169"/>
      <c r="H10" s="169"/>
      <c r="I10" s="169"/>
      <c r="J10" s="199"/>
      <c r="K10" s="200">
        <f>SUM(C10:I10)-B10</f>
        <v>0</v>
      </c>
    </row>
    <row r="11" ht="22.5" customHeight="1" spans="1:17">
      <c r="A11" s="170" t="s">
        <v>33</v>
      </c>
      <c r="B11" s="169">
        <v>203905</v>
      </c>
      <c r="C11" s="169">
        <f>B11/B16*C16</f>
        <v>179251.052868048</v>
      </c>
      <c r="D11" s="169">
        <f t="shared" ref="D11:G11" si="7">C11/C16*D16</f>
        <v>17943.1541527588</v>
      </c>
      <c r="E11" s="169">
        <f t="shared" si="7"/>
        <v>6710.79297919286</v>
      </c>
      <c r="F11" s="169"/>
      <c r="G11" s="169"/>
      <c r="H11" s="169"/>
      <c r="I11" s="169"/>
      <c r="J11" s="199"/>
      <c r="K11" s="200">
        <f>SUM(C11:I11)-B11</f>
        <v>0</v>
      </c>
      <c r="L11" s="201">
        <f>B5/材料!J5*P11</f>
        <v>203905.509645562</v>
      </c>
      <c r="O11">
        <v>90</v>
      </c>
      <c r="P11">
        <f>Q11/O11</f>
        <v>707.964555555556</v>
      </c>
      <c r="Q11">
        <v>63716.81</v>
      </c>
    </row>
    <row r="12" ht="22.5" customHeight="1" spans="1:11">
      <c r="A12" s="170" t="s">
        <v>34</v>
      </c>
      <c r="B12" s="169"/>
      <c r="C12" s="169"/>
      <c r="D12" s="169"/>
      <c r="E12" s="169"/>
      <c r="F12" s="169"/>
      <c r="G12" s="169"/>
      <c r="H12" s="169"/>
      <c r="I12" s="169"/>
      <c r="J12" s="199"/>
      <c r="K12" s="200"/>
    </row>
    <row r="13" ht="22.5" customHeight="1" spans="1:11">
      <c r="A13" s="170" t="s">
        <v>35</v>
      </c>
      <c r="B13" s="169"/>
      <c r="C13" s="169"/>
      <c r="D13" s="169"/>
      <c r="E13" s="169"/>
      <c r="F13" s="169"/>
      <c r="G13" s="169"/>
      <c r="H13" s="169"/>
      <c r="I13" s="169"/>
      <c r="J13" s="199"/>
      <c r="K13" s="200"/>
    </row>
    <row r="14" ht="22.5" customHeight="1" spans="1:13">
      <c r="A14" s="170" t="s">
        <v>36</v>
      </c>
      <c r="B14" s="169"/>
      <c r="C14" s="169"/>
      <c r="D14" s="169"/>
      <c r="E14" s="169"/>
      <c r="F14" s="169"/>
      <c r="G14" s="169"/>
      <c r="H14" s="169"/>
      <c r="I14" s="169"/>
      <c r="J14" s="199"/>
      <c r="K14" s="200"/>
      <c r="M14" s="55" t="s">
        <v>37</v>
      </c>
    </row>
    <row r="15" ht="22.5" customHeight="1" spans="1:13">
      <c r="A15" s="170" t="s">
        <v>38</v>
      </c>
      <c r="B15" s="169"/>
      <c r="C15" s="169"/>
      <c r="D15" s="169"/>
      <c r="E15" s="169"/>
      <c r="F15" s="169"/>
      <c r="G15" s="169"/>
      <c r="H15" s="169"/>
      <c r="I15" s="169"/>
      <c r="J15" s="199"/>
      <c r="K15" s="200"/>
      <c r="L15" s="201">
        <f>生产成本月结表!H11</f>
        <v>6.02306120487629</v>
      </c>
      <c r="M15" s="55" t="s">
        <v>39</v>
      </c>
    </row>
    <row r="16" ht="22.5" customHeight="1" spans="1:13">
      <c r="A16" s="172" t="s">
        <v>40</v>
      </c>
      <c r="B16" s="173">
        <f>销售成本!G12</f>
        <v>1297591.51120966</v>
      </c>
      <c r="C16" s="173">
        <f>销售成本!G5</f>
        <v>1140701.03517312</v>
      </c>
      <c r="D16" s="173">
        <f>销售成本!G6</f>
        <v>114184.961197352</v>
      </c>
      <c r="E16" s="173">
        <f>销售成本!G7</f>
        <v>42705.514839195</v>
      </c>
      <c r="F16" s="173"/>
      <c r="G16" s="173"/>
      <c r="H16" s="173"/>
      <c r="I16" s="204"/>
      <c r="J16" s="199"/>
      <c r="K16" s="200">
        <f>SUM(C16:I16)-B16</f>
        <v>0</v>
      </c>
      <c r="L16" s="201">
        <f>生产成本月结表!F20</f>
        <v>120106.757954059</v>
      </c>
      <c r="M16" s="55" t="s">
        <v>41</v>
      </c>
    </row>
    <row r="17" ht="22.5" customHeight="1" spans="1:11">
      <c r="A17" s="172" t="s">
        <v>42</v>
      </c>
      <c r="B17" s="173"/>
      <c r="C17" s="173" t="s">
        <v>43</v>
      </c>
      <c r="D17" s="173" t="s">
        <v>44</v>
      </c>
      <c r="E17" s="173" t="s">
        <v>44</v>
      </c>
      <c r="F17" s="173"/>
      <c r="G17" s="173"/>
      <c r="H17" s="173"/>
      <c r="I17" s="173"/>
      <c r="J17" s="199"/>
      <c r="K17" s="200"/>
    </row>
    <row r="18" ht="22.5" customHeight="1" spans="1:11">
      <c r="A18" s="172" t="s">
        <v>45</v>
      </c>
      <c r="B18" s="173">
        <f>销售成本!F12</f>
        <v>199167.76</v>
      </c>
      <c r="C18" s="173">
        <f>销售成本!F5</f>
        <v>158313.76</v>
      </c>
      <c r="D18" s="173">
        <f>销售成本!F6</f>
        <v>35005</v>
      </c>
      <c r="E18" s="173">
        <f>销售成本!F7</f>
        <v>5849</v>
      </c>
      <c r="F18" s="173"/>
      <c r="G18" s="173"/>
      <c r="H18" s="173"/>
      <c r="I18" s="204"/>
      <c r="J18" s="199"/>
      <c r="K18" s="200">
        <f>SUM(C18:I18)-B18</f>
        <v>0</v>
      </c>
    </row>
    <row r="19" ht="22.5" customHeight="1" spans="1:9">
      <c r="A19" s="172" t="s">
        <v>46</v>
      </c>
      <c r="B19" s="174"/>
      <c r="C19" s="175">
        <f>C16/C18</f>
        <v>7.20531831960226</v>
      </c>
      <c r="D19" s="175">
        <f t="shared" ref="D19:G19" si="8">D16/D18</f>
        <v>3.26196146828603</v>
      </c>
      <c r="E19" s="175">
        <f t="shared" si="8"/>
        <v>7.30133609834074</v>
      </c>
      <c r="F19" s="175"/>
      <c r="G19" s="175"/>
      <c r="H19" s="175"/>
      <c r="I19" s="175"/>
    </row>
    <row r="20" ht="24" customHeight="1" spans="1:9">
      <c r="A20" s="176"/>
      <c r="B20" s="176"/>
      <c r="C20" s="176"/>
      <c r="D20" s="176"/>
      <c r="E20" s="176"/>
      <c r="F20" s="176"/>
      <c r="G20" s="176"/>
      <c r="H20" s="176"/>
      <c r="I20" s="176"/>
    </row>
    <row r="21" spans="1:5">
      <c r="A21" s="177"/>
      <c r="B21" s="177"/>
      <c r="C21" s="177"/>
      <c r="D21" s="177"/>
      <c r="E21" s="177"/>
    </row>
    <row r="22" spans="1:9">
      <c r="A22" s="178"/>
      <c r="B22" s="179">
        <f>SUM(C22:F22)</f>
        <v>288016.551175437</v>
      </c>
      <c r="C22" s="179">
        <f>C5/材料!$J$5*1000</f>
        <v>253192.761539056</v>
      </c>
      <c r="D22" s="179">
        <f>D5/材料!$J$5*1000</f>
        <v>25344.7702424501</v>
      </c>
      <c r="E22" s="179">
        <f>E5/材料!$J$5*1000</f>
        <v>9479.0193939308</v>
      </c>
      <c r="F22" s="179"/>
      <c r="G22" s="179"/>
      <c r="H22" s="179"/>
      <c r="I22" s="179"/>
    </row>
    <row r="23" spans="1:10">
      <c r="A23" s="177"/>
      <c r="B23" s="179"/>
      <c r="C23" s="179">
        <f>C22-C18</f>
        <v>94879.0015390557</v>
      </c>
      <c r="D23" s="179">
        <f>D22/D18</f>
        <v>0.724032859375807</v>
      </c>
      <c r="E23" s="179">
        <f t="shared" ref="E23:G23" si="9">E22/E18</f>
        <v>1.6206222249839</v>
      </c>
      <c r="F23" s="179"/>
      <c r="G23" s="179"/>
      <c r="H23" s="179"/>
      <c r="I23" s="179"/>
      <c r="J23" t="s">
        <v>47</v>
      </c>
    </row>
    <row r="24" spans="2:5">
      <c r="B24" s="180">
        <f>测算表!G25*产品成本!B25</f>
        <v>0.676948634694978</v>
      </c>
      <c r="D24" s="177"/>
      <c r="E24" s="177"/>
    </row>
    <row r="25" spans="1:5">
      <c r="A25" s="177" t="s">
        <v>48</v>
      </c>
      <c r="B25" s="181">
        <f>B5/B16</f>
        <v>0.722886827532735</v>
      </c>
      <c r="C25" s="181">
        <v>0.840934183715237</v>
      </c>
      <c r="E25" s="177"/>
    </row>
    <row r="26" spans="1:5">
      <c r="A26" s="177" t="s">
        <v>49</v>
      </c>
      <c r="B26" s="181">
        <f>B7/B16</f>
        <v>0.10743</v>
      </c>
      <c r="C26" s="181">
        <v>0.0650469914288233</v>
      </c>
      <c r="D26" s="177"/>
      <c r="E26" s="177"/>
    </row>
    <row r="27" spans="1:5">
      <c r="A27" s="177" t="s">
        <v>50</v>
      </c>
      <c r="B27" s="181">
        <f>B9/B16</f>
        <v>0.00979263819073739</v>
      </c>
      <c r="C27" s="181">
        <v>0.0157</v>
      </c>
      <c r="D27" s="177"/>
      <c r="E27" s="177"/>
    </row>
    <row r="28" ht="13.5" customHeight="1" spans="1:5">
      <c r="A28" s="182" t="s">
        <v>51</v>
      </c>
      <c r="B28" s="181">
        <f>B11/B16</f>
        <v>0.157141132812985</v>
      </c>
      <c r="C28" s="181">
        <v>0.0777047887549073</v>
      </c>
      <c r="D28" s="177">
        <f>产品成本!B16*0.042</f>
        <v>54498.8434708058</v>
      </c>
      <c r="E28" s="177"/>
    </row>
    <row r="29" ht="13.5" customHeight="1" spans="1:5">
      <c r="A29" s="177"/>
      <c r="B29" s="177"/>
      <c r="C29" s="177"/>
      <c r="D29" s="177"/>
      <c r="E29" s="177"/>
    </row>
    <row r="30" ht="13.5" customHeight="1" spans="1:5">
      <c r="A30" s="183"/>
      <c r="B30" s="184"/>
      <c r="C30" s="185"/>
      <c r="D30" s="177"/>
      <c r="E30" s="197"/>
    </row>
    <row r="31" ht="13.5" customHeight="1" spans="1:5">
      <c r="A31" s="186"/>
      <c r="B31" s="187"/>
      <c r="C31" s="188"/>
      <c r="D31" s="177"/>
      <c r="E31" s="177"/>
    </row>
    <row r="32" ht="13.5" customHeight="1" spans="1:5">
      <c r="A32" s="189"/>
      <c r="B32" s="189"/>
      <c r="C32" s="190"/>
      <c r="D32" s="177"/>
      <c r="E32" s="177"/>
    </row>
    <row r="33" ht="13.5" customHeight="1" spans="1:5">
      <c r="A33" s="189"/>
      <c r="B33" s="189"/>
      <c r="C33" s="190"/>
      <c r="D33" s="177"/>
      <c r="E33" s="177"/>
    </row>
    <row r="34" ht="13.5" customHeight="1" spans="1:5">
      <c r="A34" s="189"/>
      <c r="C34" s="190"/>
      <c r="D34" s="177"/>
      <c r="E34" s="177"/>
    </row>
    <row r="35" ht="13.5" customHeight="1" spans="1:5">
      <c r="A35" s="191"/>
      <c r="B35" s="192"/>
      <c r="C35" s="192"/>
      <c r="D35" s="177"/>
      <c r="E35" s="177"/>
    </row>
    <row r="36" ht="13.5" customHeight="1" spans="1:5">
      <c r="A36" s="193"/>
      <c r="B36" s="177"/>
      <c r="C36" s="194"/>
      <c r="D36" s="177"/>
      <c r="E36" s="177"/>
    </row>
    <row r="37" ht="13.5" customHeight="1" spans="1:5">
      <c r="A37" s="195"/>
      <c r="B37" s="193"/>
      <c r="C37" s="194"/>
      <c r="D37" s="177"/>
      <c r="E37" s="177"/>
    </row>
    <row r="38" ht="13.5" customHeight="1" spans="1:5">
      <c r="A38" s="177"/>
      <c r="B38" s="193"/>
      <c r="C38" s="194"/>
      <c r="D38" s="177"/>
      <c r="E38" s="177"/>
    </row>
    <row r="39" ht="13.5" customHeight="1" spans="1:5">
      <c r="A39" s="177"/>
      <c r="B39" s="193"/>
      <c r="C39" s="194"/>
      <c r="D39" s="177"/>
      <c r="E39" s="177"/>
    </row>
    <row r="40" ht="13.5" customHeight="1" spans="1:5">
      <c r="A40" s="177"/>
      <c r="B40" s="193"/>
      <c r="C40" s="194"/>
      <c r="D40" s="177"/>
      <c r="E40" s="177"/>
    </row>
    <row r="41" ht="13.5" customHeight="1" spans="1:5">
      <c r="A41" s="177"/>
      <c r="B41" s="193"/>
      <c r="C41" s="194"/>
      <c r="D41" s="177"/>
      <c r="E41" s="177"/>
    </row>
    <row r="42" ht="13.5" customHeight="1" spans="1:5">
      <c r="A42" s="177"/>
      <c r="B42" s="193"/>
      <c r="C42" s="194"/>
      <c r="D42" s="177"/>
      <c r="E42" s="177"/>
    </row>
    <row r="43" ht="13.5" customHeight="1" spans="1:5">
      <c r="A43" s="177"/>
      <c r="B43" s="193"/>
      <c r="C43" s="194"/>
      <c r="D43" s="177"/>
      <c r="E43" s="177"/>
    </row>
    <row r="44" ht="13.5" customHeight="1" spans="1:5">
      <c r="A44" s="177"/>
      <c r="B44" s="193"/>
      <c r="C44" s="194"/>
      <c r="D44" s="177"/>
      <c r="E44" s="177"/>
    </row>
    <row r="45" ht="13.5" customHeight="1" spans="1:5">
      <c r="A45" s="177"/>
      <c r="B45" s="193"/>
      <c r="C45" s="194"/>
      <c r="D45" s="177"/>
      <c r="E45" s="177"/>
    </row>
    <row r="46" ht="13.5" customHeight="1" spans="1:5">
      <c r="A46" s="177"/>
      <c r="B46" s="193"/>
      <c r="C46" s="194"/>
      <c r="D46" s="177"/>
      <c r="E46" s="177"/>
    </row>
    <row r="47" ht="13.5" customHeight="1" spans="1:5">
      <c r="A47" s="177"/>
      <c r="B47" s="177"/>
      <c r="C47" s="177"/>
      <c r="D47" s="177"/>
      <c r="E47" s="177"/>
    </row>
    <row r="48" ht="13.5" customHeight="1" spans="1:5">
      <c r="A48" s="196"/>
      <c r="B48" s="177"/>
      <c r="C48" s="177"/>
      <c r="D48" s="177"/>
      <c r="E48" s="177"/>
    </row>
    <row r="49" ht="13.5" customHeight="1" spans="1:5">
      <c r="A49" s="177"/>
      <c r="B49" s="177"/>
      <c r="C49" s="177"/>
      <c r="D49" s="177"/>
      <c r="E49" s="177"/>
    </row>
    <row r="50" ht="13.5" customHeight="1" spans="1:5">
      <c r="A50" s="177"/>
      <c r="B50" s="177"/>
      <c r="C50" s="177"/>
      <c r="D50" s="177"/>
      <c r="E50" s="177"/>
    </row>
    <row r="51" ht="13.5" customHeight="1" spans="1:5">
      <c r="A51" s="177"/>
      <c r="B51" s="177"/>
      <c r="C51" s="177"/>
      <c r="D51" s="177"/>
      <c r="E51" s="177"/>
    </row>
    <row r="52" ht="13.5" customHeight="1" spans="1:5">
      <c r="A52" s="177"/>
      <c r="B52" s="177"/>
      <c r="C52" s="177"/>
      <c r="D52" s="177"/>
      <c r="E52" s="177"/>
    </row>
    <row r="53" ht="13.5" customHeight="1" spans="1:5">
      <c r="A53" s="177"/>
      <c r="B53" s="177"/>
      <c r="C53" s="177"/>
      <c r="D53" s="177"/>
      <c r="E53" s="177"/>
    </row>
    <row r="54" ht="13.5" customHeight="1" spans="1:5">
      <c r="A54" s="177"/>
      <c r="B54" s="177"/>
      <c r="C54" s="177"/>
      <c r="D54" s="177"/>
      <c r="E54" s="177"/>
    </row>
    <row r="55" ht="13.5" customHeight="1" spans="1:5">
      <c r="A55" s="177"/>
      <c r="B55" s="177"/>
      <c r="C55" s="177"/>
      <c r="D55" s="177"/>
      <c r="E55" s="177"/>
    </row>
    <row r="56" ht="13.5" customHeight="1" spans="1:5">
      <c r="A56" s="177"/>
      <c r="B56" s="177"/>
      <c r="C56" s="177"/>
      <c r="D56" s="177"/>
      <c r="E56" s="177"/>
    </row>
    <row r="57" ht="13.5" customHeight="1" spans="1:5">
      <c r="A57" s="177"/>
      <c r="B57" s="177"/>
      <c r="C57" s="177"/>
      <c r="D57" s="177"/>
      <c r="E57" s="177"/>
    </row>
    <row r="58" ht="13.5" customHeight="1" spans="1:5">
      <c r="A58" s="177"/>
      <c r="B58" s="177"/>
      <c r="C58" s="177"/>
      <c r="D58" s="177"/>
      <c r="E58" s="177"/>
    </row>
    <row r="59" ht="13.5" customHeight="1" spans="1:5">
      <c r="A59" s="177"/>
      <c r="B59" s="177"/>
      <c r="C59" s="177"/>
      <c r="D59" s="177"/>
      <c r="E59" s="177"/>
    </row>
    <row r="60" ht="13.5" customHeight="1" spans="1:5">
      <c r="A60" s="177"/>
      <c r="B60" s="177"/>
      <c r="C60" s="177"/>
      <c r="D60" s="177"/>
      <c r="E60" s="177"/>
    </row>
    <row r="61" ht="13.5" customHeight="1" spans="1:5">
      <c r="A61" s="177"/>
      <c r="B61" s="177"/>
      <c r="C61" s="177"/>
      <c r="D61" s="177"/>
      <c r="E61" s="177"/>
    </row>
    <row r="62" ht="13.5" customHeight="1" spans="1:5">
      <c r="A62" s="177"/>
      <c r="B62" s="177"/>
      <c r="C62" s="177"/>
      <c r="D62" s="177"/>
      <c r="E62" s="177"/>
    </row>
    <row r="63" ht="13.5" customHeight="1" spans="1:5">
      <c r="A63" s="177"/>
      <c r="B63" s="177"/>
      <c r="C63" s="177"/>
      <c r="D63" s="177"/>
      <c r="E63" s="177"/>
    </row>
    <row r="64" ht="13.5" customHeight="1" spans="1:5">
      <c r="A64" s="177"/>
      <c r="B64" s="177"/>
      <c r="C64" s="177"/>
      <c r="D64" s="177"/>
      <c r="E64" s="177"/>
    </row>
  </sheetData>
  <mergeCells count="2">
    <mergeCell ref="A1:I1"/>
    <mergeCell ref="A2:I2"/>
  </mergeCells>
  <pageMargins left="0.393700787401575" right="0.393700787401575" top="0.393700787401575" bottom="0.393700787401575" header="0.196850393700787" footer="0.196850393700787"/>
  <pageSetup paperSize="11" scale="68" orientation="landscape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30"/>
  <sheetViews>
    <sheetView zoomScale="85" zoomScaleNormal="85" workbookViewId="0">
      <selection activeCell="L14" sqref="L11:L14"/>
    </sheetView>
  </sheetViews>
  <sheetFormatPr defaultColWidth="9" defaultRowHeight="17.6"/>
  <cols>
    <col min="1" max="1" width="13.9017857142857" style="10" customWidth="1"/>
    <col min="2" max="2" width="7.5" style="10" customWidth="1"/>
    <col min="3" max="3" width="12.2946428571429" style="10" customWidth="1"/>
    <col min="4" max="4" width="10.0982142857143" style="10" customWidth="1"/>
    <col min="5" max="6" width="12.2946428571429" style="10" customWidth="1"/>
    <col min="7" max="7" width="10.0982142857143" style="10" customWidth="1"/>
    <col min="8" max="8" width="12.2946428571429" style="10" customWidth="1"/>
    <col min="9" max="9" width="13.9017857142857" style="10" customWidth="1"/>
    <col min="10" max="10" width="10.0982142857143" style="10" customWidth="1"/>
    <col min="11" max="12" width="12.2946428571429" style="10" customWidth="1"/>
    <col min="13" max="13" width="10.0982142857143" style="10" customWidth="1"/>
    <col min="14" max="14" width="12.2946428571429" style="10" customWidth="1"/>
    <col min="15" max="15" width="6.5" style="10" customWidth="1"/>
    <col min="16" max="16" width="1.69642857142857" style="10" customWidth="1"/>
    <col min="17" max="17" width="12.0982142857143" style="10" customWidth="1"/>
    <col min="18" max="18" width="10" style="10" customWidth="1"/>
    <col min="19" max="19" width="11.6964285714286" style="10" customWidth="1"/>
    <col min="20" max="20" width="9.59821428571429" style="10" customWidth="1"/>
    <col min="21" max="21" width="12.6964285714286" style="10" customWidth="1"/>
    <col min="22" max="22" width="11.5982142857143" style="10" customWidth="1"/>
    <col min="23" max="23" width="6.90178571428571" style="10" customWidth="1"/>
    <col min="24" max="16384" width="9" style="10"/>
  </cols>
  <sheetData>
    <row r="1" ht="45" customHeight="1" spans="1:19">
      <c r="A1" s="149" t="s">
        <v>52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S1" s="10">
        <f>生产成本月结表!J4</f>
        <v>-2014.47572849656</v>
      </c>
    </row>
    <row r="2" ht="20.1" customHeight="1" spans="1:19">
      <c r="A2" s="150" t="s">
        <v>53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S2" s="10">
        <f>生产成本月结表!J5</f>
        <v>-19.1840628109821</v>
      </c>
    </row>
    <row r="3" ht="22.5" customHeight="1" spans="1:19">
      <c r="A3" s="12" t="s">
        <v>54</v>
      </c>
      <c r="B3" s="12" t="s">
        <v>42</v>
      </c>
      <c r="C3" s="12" t="s">
        <v>55</v>
      </c>
      <c r="D3" s="12"/>
      <c r="E3" s="12"/>
      <c r="F3" s="12" t="s">
        <v>56</v>
      </c>
      <c r="G3" s="12"/>
      <c r="H3" s="12"/>
      <c r="I3" s="12" t="s">
        <v>57</v>
      </c>
      <c r="J3" s="12"/>
      <c r="K3" s="12"/>
      <c r="L3" s="12" t="s">
        <v>58</v>
      </c>
      <c r="M3" s="12"/>
      <c r="N3" s="12"/>
      <c r="O3" s="12" t="s">
        <v>59</v>
      </c>
      <c r="S3" s="10">
        <f>生产成本月结表!F20</f>
        <v>120106.757954059</v>
      </c>
    </row>
    <row r="4" ht="22.5" customHeight="1" spans="1:15">
      <c r="A4" s="12"/>
      <c r="B4" s="12"/>
      <c r="C4" s="12" t="s">
        <v>8</v>
      </c>
      <c r="D4" s="12" t="s">
        <v>10</v>
      </c>
      <c r="E4" s="12" t="s">
        <v>9</v>
      </c>
      <c r="F4" s="12" t="s">
        <v>8</v>
      </c>
      <c r="G4" s="12" t="s">
        <v>10</v>
      </c>
      <c r="H4" s="12" t="s">
        <v>9</v>
      </c>
      <c r="I4" s="12" t="s">
        <v>8</v>
      </c>
      <c r="J4" s="12" t="s">
        <v>10</v>
      </c>
      <c r="K4" s="12" t="s">
        <v>9</v>
      </c>
      <c r="L4" s="12" t="s">
        <v>8</v>
      </c>
      <c r="M4" s="12" t="s">
        <v>10</v>
      </c>
      <c r="N4" s="12" t="s">
        <v>9</v>
      </c>
      <c r="O4" s="12"/>
    </row>
    <row r="5" ht="39" customHeight="1" spans="1:20">
      <c r="A5" s="12" t="s">
        <v>60</v>
      </c>
      <c r="B5" s="12" t="s">
        <v>61</v>
      </c>
      <c r="C5" s="14"/>
      <c r="D5" s="15"/>
      <c r="E5" s="15"/>
      <c r="F5" s="14">
        <f>13.544+11.933</f>
        <v>25.477</v>
      </c>
      <c r="G5" s="15">
        <f>H5/F5</f>
        <v>3256.79828865251</v>
      </c>
      <c r="H5" s="15">
        <f>44109.73+38863.72</f>
        <v>82973.45</v>
      </c>
      <c r="I5" s="14">
        <f>F5</f>
        <v>25.477</v>
      </c>
      <c r="J5" s="18">
        <f t="shared" ref="J5:J6" si="0">(E5+H5)/(C5+F5)</f>
        <v>3256.79828865251</v>
      </c>
      <c r="K5" s="15">
        <f t="shared" ref="K5:K6" si="1">I5*J5</f>
        <v>82973.45</v>
      </c>
      <c r="L5" s="14">
        <f t="shared" ref="L5:L6" si="2">C5+F5-I5</f>
        <v>0</v>
      </c>
      <c r="M5" s="15" t="e">
        <f t="shared" ref="M5:M6" si="3">N5/L5</f>
        <v>#DIV/0!</v>
      </c>
      <c r="N5" s="15">
        <f t="shared" ref="N5:N6" si="4">E5+H5-K5</f>
        <v>0</v>
      </c>
      <c r="O5" s="33"/>
      <c r="Q5" s="32">
        <f>91.247-91.247</f>
        <v>0</v>
      </c>
      <c r="R5" s="10" t="e">
        <f>S5/Q5</f>
        <v>#DIV/0!</v>
      </c>
      <c r="S5" s="10">
        <f>380000-380000</f>
        <v>0</v>
      </c>
      <c r="T5" s="32"/>
    </row>
    <row r="6" ht="39" customHeight="1" spans="1:27">
      <c r="A6" s="12" t="s">
        <v>62</v>
      </c>
      <c r="B6" s="12" t="s">
        <v>61</v>
      </c>
      <c r="C6" s="14"/>
      <c r="D6" s="15"/>
      <c r="E6" s="15"/>
      <c r="F6" s="14">
        <f>8.508</f>
        <v>8.508</v>
      </c>
      <c r="G6" s="15">
        <f>H6/F6</f>
        <v>3681.38692994828</v>
      </c>
      <c r="H6" s="15">
        <f>31321.24</f>
        <v>31321.24</v>
      </c>
      <c r="I6" s="14">
        <f>F6</f>
        <v>8.508</v>
      </c>
      <c r="J6" s="18">
        <f t="shared" si="0"/>
        <v>3681.38692994828</v>
      </c>
      <c r="K6" s="15">
        <f t="shared" si="1"/>
        <v>31321.24</v>
      </c>
      <c r="L6" s="14">
        <f t="shared" si="2"/>
        <v>0</v>
      </c>
      <c r="M6" s="15" t="e">
        <f t="shared" si="3"/>
        <v>#DIV/0!</v>
      </c>
      <c r="N6" s="15">
        <f t="shared" si="4"/>
        <v>0</v>
      </c>
      <c r="O6" s="158"/>
      <c r="T6" s="28"/>
      <c r="U6"/>
      <c r="V6"/>
      <c r="W6"/>
      <c r="Y6"/>
      <c r="Z6"/>
      <c r="AA6"/>
    </row>
    <row r="7" ht="39" customHeight="1" spans="1:27">
      <c r="A7" s="12" t="s">
        <v>63</v>
      </c>
      <c r="B7" s="12" t="s">
        <v>61</v>
      </c>
      <c r="C7" s="14">
        <v>27.524</v>
      </c>
      <c r="D7" s="15">
        <f>E7/C7</f>
        <v>3184.9880104636</v>
      </c>
      <c r="E7" s="15">
        <v>87663.61</v>
      </c>
      <c r="F7" s="14">
        <f>80.754</f>
        <v>80.754</v>
      </c>
      <c r="G7" s="15">
        <f>H7/F7</f>
        <v>3287.59850905218</v>
      </c>
      <c r="H7" s="15">
        <f>265486.73</f>
        <v>265486.73</v>
      </c>
      <c r="I7" s="14">
        <f>C7+F7</f>
        <v>108.278</v>
      </c>
      <c r="J7" s="18">
        <f t="shared" ref="J7" si="5">(E7+H7)/(C7+F7)</f>
        <v>3261.51517390421</v>
      </c>
      <c r="K7" s="15">
        <f t="shared" ref="K7" si="6">I7*J7</f>
        <v>353150.34</v>
      </c>
      <c r="L7" s="14">
        <f t="shared" ref="L7:L9" si="7">C7+F7-I7</f>
        <v>0</v>
      </c>
      <c r="M7" s="15" t="e">
        <f t="shared" ref="M7:M9" si="8">N7/L7</f>
        <v>#DIV/0!</v>
      </c>
      <c r="N7" s="15">
        <f t="shared" ref="N7:N9" si="9">E7+H7-K7</f>
        <v>0</v>
      </c>
      <c r="O7" s="12"/>
      <c r="U7"/>
      <c r="V7"/>
      <c r="W7"/>
      <c r="X7" s="28"/>
      <c r="Y7"/>
      <c r="Z7"/>
      <c r="AA7"/>
    </row>
    <row r="8" ht="39" customHeight="1" spans="1:27">
      <c r="A8" s="12" t="s">
        <v>64</v>
      </c>
      <c r="B8" s="12" t="s">
        <v>61</v>
      </c>
      <c r="C8" s="14">
        <v>12.318</v>
      </c>
      <c r="D8" s="15">
        <f t="shared" ref="D8:D9" si="10">E8/C8</f>
        <v>3615.32959896087</v>
      </c>
      <c r="E8" s="15">
        <v>44533.63</v>
      </c>
      <c r="F8" s="14"/>
      <c r="G8" s="15"/>
      <c r="H8" s="15"/>
      <c r="I8" s="14">
        <f>C8</f>
        <v>12.318</v>
      </c>
      <c r="J8" s="18">
        <f t="shared" ref="J8:J9" si="11">(E8+H8)/(C8+F8)</f>
        <v>3615.32959896087</v>
      </c>
      <c r="K8" s="15">
        <f t="shared" ref="K8:K9" si="12">I8*J8</f>
        <v>44533.63</v>
      </c>
      <c r="L8" s="14">
        <f t="shared" si="7"/>
        <v>0</v>
      </c>
      <c r="M8" s="15" t="e">
        <f t="shared" si="8"/>
        <v>#DIV/0!</v>
      </c>
      <c r="N8" s="15">
        <f t="shared" si="9"/>
        <v>0</v>
      </c>
      <c r="O8" s="158"/>
      <c r="T8" s="28"/>
      <c r="U8"/>
      <c r="V8"/>
      <c r="W8"/>
      <c r="Y8"/>
      <c r="Z8"/>
      <c r="AA8"/>
    </row>
    <row r="9" ht="39" customHeight="1" spans="1:17">
      <c r="A9" s="12" t="s">
        <v>65</v>
      </c>
      <c r="B9" s="12" t="s">
        <v>61</v>
      </c>
      <c r="C9" s="14">
        <v>105.346</v>
      </c>
      <c r="D9" s="15">
        <f t="shared" si="10"/>
        <v>3165.48136616483</v>
      </c>
      <c r="E9" s="15">
        <v>333470.8</v>
      </c>
      <c r="F9" s="14">
        <v>41.671</v>
      </c>
      <c r="G9" s="15">
        <f>H9/F9</f>
        <v>3187.63312615488</v>
      </c>
      <c r="H9" s="15">
        <f>132831.86</f>
        <v>132831.86</v>
      </c>
      <c r="I9" s="14">
        <v>69.5</v>
      </c>
      <c r="J9" s="18">
        <f t="shared" si="11"/>
        <v>3171.76013658284</v>
      </c>
      <c r="K9" s="15">
        <f t="shared" si="12"/>
        <v>220437.329492508</v>
      </c>
      <c r="L9" s="14">
        <f t="shared" si="7"/>
        <v>77.517</v>
      </c>
      <c r="M9" s="15">
        <f t="shared" si="8"/>
        <v>3171.76013658284</v>
      </c>
      <c r="N9" s="15">
        <f t="shared" si="9"/>
        <v>245865.330507492</v>
      </c>
      <c r="O9" s="33"/>
      <c r="Q9" s="160"/>
    </row>
    <row r="10" ht="39" customHeight="1" spans="1:27">
      <c r="A10" s="33" t="s">
        <v>66</v>
      </c>
      <c r="B10" s="12" t="s">
        <v>67</v>
      </c>
      <c r="C10" s="14"/>
      <c r="D10" s="15"/>
      <c r="E10" s="15"/>
      <c r="F10" s="14"/>
      <c r="G10" s="15"/>
      <c r="H10" s="15"/>
      <c r="I10" s="14"/>
      <c r="J10" s="18"/>
      <c r="K10" s="15"/>
      <c r="L10" s="14"/>
      <c r="M10" s="15"/>
      <c r="N10" s="15"/>
      <c r="O10" s="158"/>
      <c r="T10" s="28">
        <v>37.5</v>
      </c>
      <c r="U10"/>
      <c r="V10"/>
      <c r="W10"/>
      <c r="Y10"/>
      <c r="Z10"/>
      <c r="AA10"/>
    </row>
    <row r="11" ht="39" customHeight="1" spans="1:27">
      <c r="A11" s="12" t="s">
        <v>68</v>
      </c>
      <c r="B11" s="12" t="s">
        <v>43</v>
      </c>
      <c r="C11" s="14">
        <v>1282.195</v>
      </c>
      <c r="D11" s="15">
        <f t="shared" ref="D11:D13" si="13">E11/C11</f>
        <v>5.78008805212936</v>
      </c>
      <c r="E11" s="15">
        <v>7411.2</v>
      </c>
      <c r="F11" s="14"/>
      <c r="G11" s="15"/>
      <c r="H11" s="15"/>
      <c r="I11" s="14">
        <v>1110</v>
      </c>
      <c r="J11" s="18">
        <f t="shared" ref="J11:J14" si="14">(E11+H11)/(C11+F11)</f>
        <v>5.78008805212936</v>
      </c>
      <c r="K11" s="156">
        <f t="shared" ref="K11:K14" si="15">I11*J11</f>
        <v>6415.89773786359</v>
      </c>
      <c r="L11" s="14">
        <f t="shared" ref="L11:L14" si="16">C11+F11-I11</f>
        <v>172.195</v>
      </c>
      <c r="M11" s="15">
        <f t="shared" ref="M11:M14" si="17">N11/L11</f>
        <v>5.78008805212935</v>
      </c>
      <c r="N11" s="15">
        <f t="shared" ref="N11:N14" si="18">E11+H11-K11</f>
        <v>995.302262136413</v>
      </c>
      <c r="O11" s="159"/>
      <c r="R11" s="161" t="s">
        <v>69</v>
      </c>
      <c r="S11" s="17"/>
      <c r="T11" s="28"/>
      <c r="U11" s="56">
        <f>V11/J11</f>
        <v>11224.6690665174</v>
      </c>
      <c r="V11" s="39">
        <f>产品成本!B16*0.05</f>
        <v>64879.5755604831</v>
      </c>
      <c r="W11"/>
      <c r="Y11"/>
      <c r="Z11"/>
      <c r="AA11"/>
    </row>
    <row r="12" ht="39" customHeight="1" spans="1:22">
      <c r="A12" s="12" t="s">
        <v>70</v>
      </c>
      <c r="B12" s="12" t="s">
        <v>71</v>
      </c>
      <c r="C12" s="14">
        <v>68281</v>
      </c>
      <c r="D12" s="15">
        <f t="shared" si="13"/>
        <v>0.486729397636239</v>
      </c>
      <c r="E12" s="15">
        <v>33234.37</v>
      </c>
      <c r="F12" s="14"/>
      <c r="G12" s="15"/>
      <c r="H12" s="15"/>
      <c r="I12" s="14">
        <v>21100</v>
      </c>
      <c r="J12" s="18">
        <f t="shared" si="14"/>
        <v>0.486729397636239</v>
      </c>
      <c r="K12" s="156">
        <f t="shared" si="15"/>
        <v>10269.9902901246</v>
      </c>
      <c r="L12" s="14">
        <f t="shared" si="16"/>
        <v>47181</v>
      </c>
      <c r="M12" s="15">
        <f t="shared" si="17"/>
        <v>0.486729397636239</v>
      </c>
      <c r="N12" s="15">
        <f t="shared" si="18"/>
        <v>22964.3797098754</v>
      </c>
      <c r="O12" s="158"/>
      <c r="Q12" s="162"/>
      <c r="U12" s="56">
        <f t="shared" ref="U12:U13" si="19">V12/J12</f>
        <v>79978.2086829751</v>
      </c>
      <c r="V12" s="39">
        <f>产品成本!B16*0.03</f>
        <v>38927.7453362899</v>
      </c>
    </row>
    <row r="13" ht="39" customHeight="1" spans="1:22">
      <c r="A13" s="12" t="s">
        <v>72</v>
      </c>
      <c r="B13" s="12" t="s">
        <v>73</v>
      </c>
      <c r="C13" s="14">
        <v>37.79</v>
      </c>
      <c r="D13" s="15">
        <f t="shared" si="13"/>
        <v>213.097380259328</v>
      </c>
      <c r="E13" s="15">
        <v>8052.95</v>
      </c>
      <c r="F13" s="14"/>
      <c r="G13" s="15"/>
      <c r="H13" s="15"/>
      <c r="I13" s="14">
        <f>C13</f>
        <v>37.79</v>
      </c>
      <c r="J13" s="18">
        <f t="shared" ref="J13" si="20">(E13+H13)/(C13+F13)</f>
        <v>213.097380259328</v>
      </c>
      <c r="K13" s="156">
        <f t="shared" ref="K13" si="21">I13*J13</f>
        <v>8052.95</v>
      </c>
      <c r="L13" s="14">
        <f t="shared" ref="L13" si="22">C13+F13-I13</f>
        <v>0</v>
      </c>
      <c r="M13" s="15" t="e">
        <f t="shared" ref="M13" si="23">N13/L13</f>
        <v>#DIV/0!</v>
      </c>
      <c r="N13" s="15">
        <f t="shared" ref="N13" si="24">E13+H13-K13</f>
        <v>0</v>
      </c>
      <c r="O13" s="158"/>
      <c r="Q13" s="162"/>
      <c r="U13" s="56">
        <f t="shared" si="19"/>
        <v>121.783900827928</v>
      </c>
      <c r="V13" s="10">
        <f>产品成本!B16*0.02</f>
        <v>25951.8302241933</v>
      </c>
    </row>
    <row r="14" ht="39" customHeight="1" spans="1:17">
      <c r="A14" s="12" t="s">
        <v>74</v>
      </c>
      <c r="B14" s="12" t="s">
        <v>67</v>
      </c>
      <c r="C14" s="14"/>
      <c r="D14" s="15"/>
      <c r="E14" s="15"/>
      <c r="F14" s="15">
        <v>10463</v>
      </c>
      <c r="G14" s="15">
        <f>H14/F14</f>
        <v>2.65478256714136</v>
      </c>
      <c r="H14" s="15">
        <f>27776.99</f>
        <v>27776.99</v>
      </c>
      <c r="I14" s="14">
        <v>8200</v>
      </c>
      <c r="J14" s="18">
        <f t="shared" si="14"/>
        <v>2.65478256714136</v>
      </c>
      <c r="K14" s="15">
        <f t="shared" si="15"/>
        <v>21769.2170505591</v>
      </c>
      <c r="L14" s="14">
        <f t="shared" si="16"/>
        <v>2263</v>
      </c>
      <c r="M14" s="15">
        <f t="shared" si="17"/>
        <v>2.65478256714136</v>
      </c>
      <c r="N14" s="15">
        <f t="shared" si="18"/>
        <v>6007.77294944089</v>
      </c>
      <c r="O14" s="159"/>
      <c r="Q14" s="162"/>
    </row>
    <row r="15" ht="39" customHeight="1" spans="1:27">
      <c r="A15" s="12" t="s">
        <v>75</v>
      </c>
      <c r="B15" s="12" t="s">
        <v>71</v>
      </c>
      <c r="C15" s="13"/>
      <c r="D15" s="15"/>
      <c r="E15" s="15"/>
      <c r="F15" s="15"/>
      <c r="G15" s="15"/>
      <c r="H15" s="15"/>
      <c r="I15" s="14"/>
      <c r="J15" s="18"/>
      <c r="K15" s="15"/>
      <c r="L15" s="14"/>
      <c r="M15" s="15"/>
      <c r="N15" s="15"/>
      <c r="O15" s="159"/>
      <c r="T15" s="28"/>
      <c r="U15"/>
      <c r="V15"/>
      <c r="W15"/>
      <c r="Y15"/>
      <c r="Z15"/>
      <c r="AA15"/>
    </row>
    <row r="16" ht="39" customHeight="1" spans="1:27">
      <c r="A16" s="12" t="s">
        <v>76</v>
      </c>
      <c r="B16" s="12" t="s">
        <v>77</v>
      </c>
      <c r="C16" s="12"/>
      <c r="D16" s="12"/>
      <c r="E16" s="15"/>
      <c r="F16" s="14"/>
      <c r="G16" s="15"/>
      <c r="H16" s="15"/>
      <c r="I16" s="14"/>
      <c r="J16" s="18"/>
      <c r="K16" s="15"/>
      <c r="L16" s="14"/>
      <c r="M16" s="15"/>
      <c r="N16" s="15"/>
      <c r="O16" s="158"/>
      <c r="T16" s="28"/>
      <c r="U16"/>
      <c r="V16"/>
      <c r="W16"/>
      <c r="Y16"/>
      <c r="Z16"/>
      <c r="AA16"/>
    </row>
    <row r="17" ht="27.75" customHeight="1" spans="1:15">
      <c r="A17" s="152" t="s">
        <v>78</v>
      </c>
      <c r="B17" s="12"/>
      <c r="C17" s="12">
        <f>SUM(C5:C16)</f>
        <v>69746.173</v>
      </c>
      <c r="D17" s="12"/>
      <c r="E17" s="12">
        <f>SUM(E5:E16)</f>
        <v>514366.56</v>
      </c>
      <c r="F17" s="13">
        <f>SUM(F5:F16)</f>
        <v>10619.41</v>
      </c>
      <c r="G17" s="12"/>
      <c r="H17" s="12">
        <f>SUM(H5:H16)</f>
        <v>540390.27</v>
      </c>
      <c r="I17" s="13">
        <f>SUM(I5:I16)</f>
        <v>30671.871</v>
      </c>
      <c r="J17" s="12"/>
      <c r="K17" s="12">
        <f>SUM(K5:K16)</f>
        <v>778924.044571055</v>
      </c>
      <c r="L17" s="13">
        <f>SUM(L5:L16)</f>
        <v>49693.712</v>
      </c>
      <c r="M17" s="12"/>
      <c r="N17" s="12">
        <f>SUM(N5:N16)</f>
        <v>275832.785428945</v>
      </c>
      <c r="O17" s="12">
        <f>S5</f>
        <v>0</v>
      </c>
    </row>
    <row r="18" ht="14.25" customHeight="1" spans="1:15">
      <c r="A18" s="153"/>
      <c r="B18" s="154"/>
      <c r="C18" s="154"/>
      <c r="D18" s="154"/>
      <c r="E18" s="154"/>
      <c r="F18" s="154"/>
      <c r="G18" s="154"/>
      <c r="H18" s="154"/>
      <c r="I18" s="154"/>
      <c r="J18" s="157">
        <f>SUM(K10:K16)/(SUM(I10:I16)+(I11+I7)/1000)</f>
        <v>1.52740787660235</v>
      </c>
      <c r="K18" s="154"/>
      <c r="L18" s="154"/>
      <c r="M18" s="154"/>
      <c r="N18" s="154"/>
      <c r="O18" s="154"/>
    </row>
    <row r="19" spans="1:15">
      <c r="A19" s="155"/>
      <c r="B19" s="155"/>
      <c r="C19" s="155"/>
      <c r="D19" s="155"/>
      <c r="E19" s="155"/>
      <c r="F19" s="155">
        <f>159.744+68.936+4501.471+45636+390</f>
        <v>50756.151</v>
      </c>
      <c r="G19" s="155"/>
      <c r="H19" s="155">
        <v>913805.31</v>
      </c>
      <c r="I19" s="155"/>
      <c r="J19" s="155"/>
      <c r="K19" s="155"/>
      <c r="L19" s="155"/>
      <c r="M19" s="155"/>
      <c r="N19" s="155"/>
      <c r="O19" s="155"/>
    </row>
    <row r="20" spans="1:14">
      <c r="A20" s="16"/>
      <c r="B20" s="16"/>
      <c r="C20" s="16"/>
      <c r="D20" s="16"/>
      <c r="E20" s="16"/>
      <c r="F20" s="16">
        <f>F19-F17</f>
        <v>40136.741</v>
      </c>
      <c r="G20" s="16"/>
      <c r="H20" s="16">
        <f>H19-H17</f>
        <v>373415.04</v>
      </c>
      <c r="I20" s="16"/>
      <c r="J20" s="20"/>
      <c r="K20" s="16"/>
      <c r="L20" s="16"/>
      <c r="M20" s="16"/>
      <c r="N20" s="16"/>
    </row>
    <row r="21" spans="1:14">
      <c r="A21" s="16"/>
      <c r="B21" s="16"/>
      <c r="C21" s="16"/>
      <c r="D21" s="16"/>
      <c r="E21" s="16"/>
      <c r="F21" s="16"/>
      <c r="G21" s="16"/>
      <c r="H21" s="16"/>
      <c r="I21" s="16">
        <f>SUM(I5:I15)</f>
        <v>30671.871</v>
      </c>
      <c r="J21" s="20">
        <f>K21/I21</f>
        <v>25.3953873427237</v>
      </c>
      <c r="K21" s="16">
        <f>SUM(K5:K15)</f>
        <v>778924.044571055</v>
      </c>
      <c r="L21" s="16"/>
      <c r="M21" s="16"/>
      <c r="N21" s="16">
        <f>测算表!G13/0.13-N17</f>
        <v>416207.906878747</v>
      </c>
    </row>
    <row r="22" spans="1:14">
      <c r="A22" s="16"/>
      <c r="B22" s="16"/>
      <c r="C22" s="16"/>
      <c r="D22" s="16"/>
      <c r="E22" s="16"/>
      <c r="F22" s="16"/>
      <c r="G22" s="16"/>
      <c r="H22" s="16"/>
      <c r="I22" s="19"/>
      <c r="L22" s="16"/>
      <c r="M22" s="16"/>
      <c r="N22" s="16"/>
    </row>
    <row r="23" spans="1:14">
      <c r="A23" s="16"/>
      <c r="B23" s="16"/>
      <c r="C23" s="16"/>
      <c r="D23" s="16"/>
      <c r="E23" s="16"/>
      <c r="F23" s="16"/>
      <c r="G23" s="16"/>
      <c r="H23" s="21"/>
      <c r="I23" s="16"/>
      <c r="L23" s="16"/>
      <c r="M23" s="16"/>
      <c r="N23" s="16"/>
    </row>
    <row r="24" spans="1:1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6" spans="9:11">
      <c r="I26" s="10" t="s">
        <v>68</v>
      </c>
      <c r="J26" s="10">
        <v>0.005</v>
      </c>
      <c r="K26" s="10">
        <f>J26*产品成本!$B$16/J11</f>
        <v>1122.46690665174</v>
      </c>
    </row>
    <row r="27" spans="9:11">
      <c r="I27" s="10" t="s">
        <v>70</v>
      </c>
      <c r="J27" s="10">
        <v>0.008</v>
      </c>
      <c r="K27" s="10">
        <f>J27*产品成本!$B$16/J12</f>
        <v>21327.52231546</v>
      </c>
    </row>
    <row r="28" spans="9:11">
      <c r="I28" s="10" t="s">
        <v>72</v>
      </c>
      <c r="J28" s="10">
        <v>0.007</v>
      </c>
      <c r="K28" s="10">
        <f>J28*产品成本!$B$16/J13</f>
        <v>42.6243652897748</v>
      </c>
    </row>
    <row r="29" spans="9:11">
      <c r="I29" s="10" t="s">
        <v>74</v>
      </c>
      <c r="J29" s="10">
        <v>0.017</v>
      </c>
      <c r="K29" s="10">
        <f>J29*产品成本!$B$16/J14</f>
        <v>8309.17603708587</v>
      </c>
    </row>
    <row r="30" spans="9:11">
      <c r="I30" s="10" t="s">
        <v>75</v>
      </c>
      <c r="J30" s="10">
        <v>0.02</v>
      </c>
      <c r="K30" s="10" t="e">
        <f>J30*产品成本!$B$16/J15</f>
        <v>#DIV/0!</v>
      </c>
    </row>
  </sheetData>
  <mergeCells count="9">
    <mergeCell ref="A1:O1"/>
    <mergeCell ref="A2:O2"/>
    <mergeCell ref="C3:E3"/>
    <mergeCell ref="F3:H3"/>
    <mergeCell ref="I3:K3"/>
    <mergeCell ref="L3:N3"/>
    <mergeCell ref="A3:A4"/>
    <mergeCell ref="B3:B4"/>
    <mergeCell ref="O3:O4"/>
  </mergeCells>
  <pageMargins left="0.393700787401575" right="0.393700787401575" top="0.393700787401575" bottom="0.393700787401575" header="0.196850393700787" footer="0.196850393700787"/>
  <pageSetup paperSize="11" scale="53" orientation="landscape" blackAndWhite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opLeftCell="A12" workbookViewId="0">
      <selection activeCell="G23" sqref="G23"/>
    </sheetView>
  </sheetViews>
  <sheetFormatPr defaultColWidth="9" defaultRowHeight="17.6"/>
  <cols>
    <col min="1" max="1" width="16.1964285714286" style="108" customWidth="1"/>
    <col min="2" max="2" width="15.5" customWidth="1"/>
    <col min="3" max="3" width="13.1964285714286" customWidth="1"/>
    <col min="4" max="4" width="12.9017857142857" customWidth="1"/>
    <col min="5" max="5" width="17.9017857142857" customWidth="1"/>
    <col min="6" max="7" width="13.1964285714286" customWidth="1"/>
    <col min="8" max="8" width="16.5982142857143" customWidth="1"/>
    <col min="9" max="9" width="17.9017857142857" customWidth="1"/>
    <col min="10" max="11" width="16.5982142857143" customWidth="1"/>
    <col min="12" max="12" width="15.5" customWidth="1"/>
    <col min="13" max="13" width="9.90178571428571" customWidth="1"/>
  </cols>
  <sheetData>
    <row r="1" spans="1:10">
      <c r="A1" s="109" t="s">
        <v>79</v>
      </c>
      <c r="B1" s="110"/>
      <c r="E1" s="124">
        <f>B2+D4</f>
        <v>1206293.87</v>
      </c>
      <c r="H1" s="41" t="s">
        <v>80</v>
      </c>
      <c r="I1" s="41" t="s">
        <v>9</v>
      </c>
      <c r="J1" s="41" t="s">
        <v>81</v>
      </c>
    </row>
    <row r="2" spans="1:11">
      <c r="A2" s="111" t="s">
        <v>82</v>
      </c>
      <c r="B2" s="112">
        <f>销售成本!E12+H7</f>
        <v>1067516.7</v>
      </c>
      <c r="C2" s="113"/>
      <c r="G2" s="41" t="s">
        <v>83</v>
      </c>
      <c r="H2" s="39"/>
      <c r="I2" s="39"/>
      <c r="J2" s="39">
        <f>H2-I2</f>
        <v>0</v>
      </c>
      <c r="K2" s="39">
        <f>H2/1.13</f>
        <v>0</v>
      </c>
    </row>
    <row r="3" spans="1:5">
      <c r="A3" s="111" t="s">
        <v>14</v>
      </c>
      <c r="B3" s="112">
        <f>销售成本!J12+K7</f>
        <v>1002514.3306585</v>
      </c>
      <c r="C3" s="113" t="s">
        <v>84</v>
      </c>
      <c r="D3" s="114">
        <f>(D4-F4-F5)</f>
        <v>26247.34</v>
      </c>
      <c r="E3" s="114"/>
    </row>
    <row r="4" spans="1:8">
      <c r="A4" s="111"/>
      <c r="B4" s="112"/>
      <c r="C4" s="113" t="s">
        <v>85</v>
      </c>
      <c r="D4" s="114">
        <v>138777.17</v>
      </c>
      <c r="E4" s="114" t="s">
        <v>86</v>
      </c>
      <c r="F4" s="114">
        <f>F13</f>
        <v>112529.83</v>
      </c>
      <c r="H4" s="125">
        <f>生产成本月结表!J4</f>
        <v>-2014.47572849656</v>
      </c>
    </row>
    <row r="5" spans="1:6">
      <c r="A5" s="111" t="s">
        <v>87</v>
      </c>
      <c r="B5" s="112">
        <f>B6+B7+B8</f>
        <v>1276279.31097176</v>
      </c>
      <c r="C5" s="67"/>
      <c r="D5" s="65"/>
      <c r="E5" s="114" t="s">
        <v>88</v>
      </c>
      <c r="F5" s="113"/>
    </row>
    <row r="6" spans="1:12">
      <c r="A6" s="111" t="s">
        <v>89</v>
      </c>
      <c r="B6" s="112">
        <f>产品成本!B5</f>
        <v>938011.81097176</v>
      </c>
      <c r="C6" s="115"/>
      <c r="D6" s="116"/>
      <c r="E6" s="113"/>
      <c r="F6" s="114"/>
      <c r="H6" s="41" t="s">
        <v>9</v>
      </c>
      <c r="I6" s="41" t="s">
        <v>81</v>
      </c>
      <c r="J6" s="41" t="s">
        <v>80</v>
      </c>
      <c r="K6" s="125"/>
      <c r="L6" s="125"/>
    </row>
    <row r="7" spans="1:12">
      <c r="A7" s="111" t="s">
        <v>90</v>
      </c>
      <c r="B7" s="112">
        <v>121740</v>
      </c>
      <c r="C7" s="115"/>
      <c r="D7" s="117"/>
      <c r="E7" s="126">
        <f>生产成本月结表!J5</f>
        <v>-19.1840628109821</v>
      </c>
      <c r="F7" s="65"/>
      <c r="G7" s="41" t="s">
        <v>91</v>
      </c>
      <c r="H7" s="127"/>
      <c r="I7" s="127"/>
      <c r="J7" s="127">
        <f>H7+I7</f>
        <v>0</v>
      </c>
      <c r="K7" s="39">
        <f>废料!X119*0</f>
        <v>0</v>
      </c>
      <c r="L7" s="125"/>
    </row>
    <row r="8" spans="1:10">
      <c r="A8" s="111" t="s">
        <v>92</v>
      </c>
      <c r="B8" s="112">
        <f>B9+B10+B11</f>
        <v>216527.5</v>
      </c>
      <c r="G8" s="41" t="s">
        <v>93</v>
      </c>
      <c r="H8" s="127"/>
      <c r="I8" s="127"/>
      <c r="J8" s="125">
        <f>H8+I8</f>
        <v>0</v>
      </c>
    </row>
    <row r="9" spans="1:12">
      <c r="A9" s="111" t="s">
        <v>94</v>
      </c>
      <c r="B9" s="112">
        <v>3567.6</v>
      </c>
      <c r="D9" s="62" t="s">
        <v>95</v>
      </c>
      <c r="E9" s="62" t="s">
        <v>96</v>
      </c>
      <c r="G9" s="41" t="s">
        <v>97</v>
      </c>
      <c r="H9" s="127">
        <f>H10-H7-H8</f>
        <v>0</v>
      </c>
      <c r="I9" s="127">
        <f>I10-I7-I8</f>
        <v>0</v>
      </c>
      <c r="J9" s="127">
        <f>J10-J7-J8</f>
        <v>0</v>
      </c>
      <c r="L9" s="125"/>
    </row>
    <row r="10" ht="18" spans="1:10">
      <c r="A10" s="118" t="s">
        <v>98</v>
      </c>
      <c r="B10" s="112">
        <f>电费!E63</f>
        <v>9054.9</v>
      </c>
      <c r="C10" s="119"/>
      <c r="D10" s="120">
        <f>生产成本月结表!B6</f>
        <v>6028.24</v>
      </c>
      <c r="E10" s="120">
        <f>生产成本月结表!E6</f>
        <v>2376.29581135161</v>
      </c>
      <c r="H10" s="125"/>
      <c r="I10" s="125"/>
      <c r="J10" s="125"/>
    </row>
    <row r="11" ht="18" spans="1:11">
      <c r="A11" s="118" t="s">
        <v>99</v>
      </c>
      <c r="B11" s="112">
        <f>产品成本!B11-生产成本月结表!B8</f>
        <v>203905</v>
      </c>
      <c r="C11" s="65"/>
      <c r="H11" s="125"/>
      <c r="K11" s="125"/>
    </row>
    <row r="12" spans="1:11">
      <c r="A12" s="111"/>
      <c r="B12" s="112"/>
      <c r="D12" s="121" t="s">
        <v>100</v>
      </c>
      <c r="E12" s="121" t="s">
        <v>101</v>
      </c>
      <c r="F12" s="121" t="s">
        <v>102</v>
      </c>
      <c r="G12" s="121" t="s">
        <v>103</v>
      </c>
      <c r="K12" s="144"/>
    </row>
    <row r="13" spans="1:11">
      <c r="A13" s="111" t="s">
        <v>104</v>
      </c>
      <c r="B13" s="112">
        <f>B14+B15+B16+B17</f>
        <v>1574.8304</v>
      </c>
      <c r="D13" s="94">
        <v>122784.06</v>
      </c>
      <c r="E13" s="94">
        <f>E14+1177.14+8283.19</f>
        <v>79711.06</v>
      </c>
      <c r="F13" s="94">
        <v>112529.83</v>
      </c>
      <c r="G13" s="94">
        <f>D13+E13-F13</f>
        <v>89965.29</v>
      </c>
      <c r="J13" s="125"/>
      <c r="K13" s="144"/>
    </row>
    <row r="14" spans="1:11">
      <c r="A14" s="111" t="s">
        <v>105</v>
      </c>
      <c r="B14" s="122">
        <f>D3*0.07/2-0.01</f>
        <v>918.646900000001</v>
      </c>
      <c r="D14" s="41"/>
      <c r="E14" s="94">
        <v>70250.73</v>
      </c>
      <c r="F14" s="41"/>
      <c r="G14" s="94"/>
      <c r="H14" s="125"/>
      <c r="I14" s="125"/>
      <c r="J14" s="125"/>
      <c r="K14" s="144"/>
    </row>
    <row r="15" spans="1:8">
      <c r="A15" s="111" t="s">
        <v>106</v>
      </c>
      <c r="B15" s="122">
        <f>IF(B2&lt;100000,0,D3*0.03/2)</f>
        <v>393.7101</v>
      </c>
      <c r="D15" s="41"/>
      <c r="E15" s="41"/>
      <c r="F15" s="128"/>
      <c r="G15" s="94">
        <v>89965.29</v>
      </c>
      <c r="H15" s="129">
        <f>G13-G15</f>
        <v>0</v>
      </c>
    </row>
    <row r="16" spans="1:6">
      <c r="A16" s="111" t="s">
        <v>107</v>
      </c>
      <c r="B16" s="122">
        <f>IF(B2&lt;100000,0,D3*0.02/2)</f>
        <v>262.4734</v>
      </c>
      <c r="D16" s="41"/>
      <c r="E16" s="41"/>
      <c r="F16" s="121"/>
    </row>
    <row r="17" spans="1:11">
      <c r="A17" s="118"/>
      <c r="B17" s="112"/>
      <c r="D17" s="41" t="s">
        <v>108</v>
      </c>
      <c r="E17" s="125">
        <f>E28/11*12</f>
        <v>8211367.63636364</v>
      </c>
      <c r="F17" s="125"/>
      <c r="K17" s="8"/>
    </row>
    <row r="18" spans="1:11">
      <c r="A18" s="118" t="s">
        <v>109</v>
      </c>
      <c r="B18" s="112">
        <f>B19+B20</f>
        <v>636</v>
      </c>
      <c r="D18" s="41" t="s">
        <v>110</v>
      </c>
      <c r="E18" s="127">
        <v>222369.28</v>
      </c>
      <c r="F18" s="65"/>
      <c r="G18" s="130"/>
      <c r="H18" s="131"/>
      <c r="I18" s="138"/>
      <c r="K18" s="8"/>
    </row>
    <row r="19" spans="1:11">
      <c r="A19" s="118" t="s">
        <v>111</v>
      </c>
      <c r="B19" s="112">
        <v>636</v>
      </c>
      <c r="D19" s="123" t="s">
        <v>112</v>
      </c>
      <c r="E19" s="132"/>
      <c r="F19" s="67"/>
      <c r="G19" s="133"/>
      <c r="H19" s="134"/>
      <c r="I19" s="134"/>
      <c r="K19" s="8"/>
    </row>
    <row r="20" spans="1:11">
      <c r="A20" s="118" t="s">
        <v>113</v>
      </c>
      <c r="B20" s="112"/>
      <c r="D20" s="123" t="s">
        <v>114</v>
      </c>
      <c r="E20" s="135">
        <f>E18-E19</f>
        <v>222369.28</v>
      </c>
      <c r="F20" s="136"/>
      <c r="G20" s="137"/>
      <c r="H20" s="138"/>
      <c r="I20" s="138"/>
      <c r="K20" s="8"/>
    </row>
    <row r="21" spans="1:13">
      <c r="A21" s="111"/>
      <c r="B21" s="112"/>
      <c r="D21" s="123" t="s">
        <v>115</v>
      </c>
      <c r="E21" s="135">
        <f>IF(E20&lt;=30000,E20*0.05,IF(E20&lt;=90000,E20*0.1-1500,IF(E20&lt;=300000,E20*0.2-10500,IF(E20&lt;=500000,E20*0.3-40500,E20*0.35-65500))))</f>
        <v>33973.856</v>
      </c>
      <c r="F21" s="136"/>
      <c r="J21" s="145"/>
      <c r="K21" s="8"/>
      <c r="L21" s="30"/>
      <c r="M21" s="8"/>
    </row>
    <row r="22" spans="1:7">
      <c r="A22" s="111" t="s">
        <v>116</v>
      </c>
      <c r="B22" s="112">
        <f>B2-B3-B13-B18</f>
        <v>62791.5389414972</v>
      </c>
      <c r="D22" s="123" t="s">
        <v>117</v>
      </c>
      <c r="E22" s="125">
        <f>E21/2</f>
        <v>16986.928</v>
      </c>
      <c r="F22" s="139">
        <f>E22/E17</f>
        <v>0.00206870874040205</v>
      </c>
      <c r="G22" s="125">
        <f>E17*0.00206870879425307-E22</f>
        <v>0.000442190499597928</v>
      </c>
    </row>
    <row r="23" spans="1:11">
      <c r="A23" s="111"/>
      <c r="B23" s="112"/>
      <c r="D23" s="123" t="s">
        <v>118</v>
      </c>
      <c r="E23" s="132">
        <f>1366.83+2284.43+5819.66</f>
        <v>9470.92</v>
      </c>
      <c r="F23" s="140"/>
      <c r="J23" s="108"/>
      <c r="K23" s="8"/>
    </row>
    <row r="24" spans="1:13">
      <c r="A24" s="111" t="s">
        <v>119</v>
      </c>
      <c r="B24" s="112">
        <f>SUM(B25:B34)</f>
        <v>26771.81</v>
      </c>
      <c r="D24" s="123" t="s">
        <v>120</v>
      </c>
      <c r="E24" s="132"/>
      <c r="F24" s="140"/>
      <c r="J24" s="108"/>
      <c r="K24" s="8"/>
      <c r="L24" s="8"/>
      <c r="M24" s="146"/>
    </row>
    <row r="25" spans="1:13">
      <c r="A25" s="111" t="s">
        <v>90</v>
      </c>
      <c r="B25" s="112">
        <v>5000</v>
      </c>
      <c r="D25" s="123" t="s">
        <v>121</v>
      </c>
      <c r="E25" s="132">
        <f>E21-E22-E23-E24</f>
        <v>7516.008</v>
      </c>
      <c r="F25" s="125"/>
      <c r="G25" s="11">
        <v>0.93645175</v>
      </c>
      <c r="K25" s="8"/>
      <c r="L25" s="8"/>
      <c r="M25" s="147"/>
    </row>
    <row r="26" spans="1:13">
      <c r="A26" s="111" t="s">
        <v>122</v>
      </c>
      <c r="B26" s="112"/>
      <c r="G26" s="108"/>
      <c r="H26" s="108"/>
      <c r="I26" s="41" t="s">
        <v>123</v>
      </c>
      <c r="K26" s="8"/>
      <c r="M26" s="148"/>
    </row>
    <row r="27" spans="1:13">
      <c r="A27" s="111" t="s">
        <v>124</v>
      </c>
      <c r="B27" s="112"/>
      <c r="I27" s="125">
        <f>D3+B14+B15+B16+B34+E38</f>
        <v>44010.5112941497</v>
      </c>
      <c r="K27" s="8"/>
      <c r="L27" s="8"/>
      <c r="M27" s="10"/>
    </row>
    <row r="28" spans="1:5">
      <c r="A28" s="118" t="s">
        <v>125</v>
      </c>
      <c r="B28" s="112"/>
      <c r="D28" s="41" t="s">
        <v>126</v>
      </c>
      <c r="E28" s="127">
        <f>生产成本月结表!B14</f>
        <v>7527087</v>
      </c>
    </row>
    <row r="29" ht="18" spans="1:9">
      <c r="A29" s="118" t="s">
        <v>127</v>
      </c>
      <c r="B29" s="112"/>
      <c r="D29" s="41" t="s">
        <v>128</v>
      </c>
      <c r="E29" s="125">
        <f>E18/12*11</f>
        <v>203838.506666667</v>
      </c>
      <c r="F29" s="41"/>
      <c r="I29" s="39"/>
    </row>
    <row r="30" spans="1:7">
      <c r="A30" s="118" t="s">
        <v>129</v>
      </c>
      <c r="B30" s="112"/>
      <c r="D30" s="41" t="s">
        <v>130</v>
      </c>
      <c r="E30" s="65">
        <f>177379.68+B46</f>
        <v>203838.508941497</v>
      </c>
      <c r="F30" s="125"/>
      <c r="G30" s="141">
        <f>E28-E30</f>
        <v>7323248.4910585</v>
      </c>
    </row>
    <row r="31" spans="1:5">
      <c r="A31" s="118" t="s">
        <v>131</v>
      </c>
      <c r="B31" s="112"/>
      <c r="D31" s="41" t="s">
        <v>132</v>
      </c>
      <c r="E31" s="142">
        <f>E30-E29</f>
        <v>0.00227483050548472</v>
      </c>
    </row>
    <row r="32" spans="1:5">
      <c r="A32" s="118" t="s">
        <v>133</v>
      </c>
      <c r="B32" s="122">
        <f>1350+3600+2550</f>
        <v>7500</v>
      </c>
      <c r="D32" s="123" t="s">
        <v>112</v>
      </c>
      <c r="E32" s="132"/>
    </row>
    <row r="33" spans="1:5">
      <c r="A33" s="118" t="s">
        <v>134</v>
      </c>
      <c r="B33" s="122">
        <f>840+2142+554.4+210</f>
        <v>3746.4</v>
      </c>
      <c r="D33" s="123" t="s">
        <v>114</v>
      </c>
      <c r="E33" s="135">
        <f>E30-E32</f>
        <v>203838.508941497</v>
      </c>
    </row>
    <row r="34" ht="18" spans="1:5">
      <c r="A34" s="118" t="s">
        <v>135</v>
      </c>
      <c r="B34" s="122">
        <f>475.44*4+8623.65</f>
        <v>10525.41</v>
      </c>
      <c r="D34" s="123" t="s">
        <v>115</v>
      </c>
      <c r="E34" s="127">
        <f>IF(E33&lt;=30000,E33*0.05,IF(E33&lt;=90000,E33*0.1-1500,IF(E33&lt;=300000,E33*0.2-10500,IF(E33&lt;=500000,E33*0.3-40500,E33*0.35-65500))))</f>
        <v>30267.7017882994</v>
      </c>
    </row>
    <row r="35" spans="1:5">
      <c r="A35" s="118"/>
      <c r="B35" s="112"/>
      <c r="D35" s="123" t="s">
        <v>117</v>
      </c>
      <c r="E35" s="125">
        <f>E34/2</f>
        <v>15133.8508941497</v>
      </c>
    </row>
    <row r="36" spans="1:5">
      <c r="A36" s="111" t="s">
        <v>136</v>
      </c>
      <c r="B36" s="112">
        <f>B38-B37+B39+B40-B41</f>
        <v>9560.9</v>
      </c>
      <c r="D36" s="123" t="s">
        <v>118</v>
      </c>
      <c r="E36" s="132">
        <f>E23</f>
        <v>9470.92</v>
      </c>
    </row>
    <row r="37" spans="1:5">
      <c r="A37" s="111" t="s">
        <v>137</v>
      </c>
      <c r="B37" s="112"/>
      <c r="D37" s="123" t="s">
        <v>120</v>
      </c>
      <c r="E37" s="132">
        <f>E24</f>
        <v>0</v>
      </c>
    </row>
    <row r="38" spans="1:5">
      <c r="A38" s="111" t="s">
        <v>138</v>
      </c>
      <c r="B38" s="112">
        <f>2.5+64.5+10</f>
        <v>77</v>
      </c>
      <c r="D38" s="123" t="s">
        <v>121</v>
      </c>
      <c r="E38" s="143">
        <f>E34-E35-E36-E37</f>
        <v>5662.93089414972</v>
      </c>
    </row>
    <row r="39" spans="1:5">
      <c r="A39" s="118" t="s">
        <v>139</v>
      </c>
      <c r="B39" s="112">
        <v>3500</v>
      </c>
      <c r="D39" s="65"/>
      <c r="E39" s="125">
        <f>E25-E38</f>
        <v>1853.07710585028</v>
      </c>
    </row>
    <row r="40" spans="1:4">
      <c r="A40" s="118" t="s">
        <v>140</v>
      </c>
      <c r="B40" s="112">
        <v>5983.9</v>
      </c>
      <c r="D40" s="65"/>
    </row>
    <row r="41" spans="1:4">
      <c r="A41" s="118" t="s">
        <v>141</v>
      </c>
      <c r="B41" s="112"/>
      <c r="D41" s="65"/>
    </row>
    <row r="42" spans="1:2">
      <c r="A42" s="111"/>
      <c r="B42" s="112"/>
    </row>
    <row r="43" spans="1:2">
      <c r="A43" s="111" t="s">
        <v>142</v>
      </c>
      <c r="B43" s="112"/>
    </row>
    <row r="44" spans="1:4">
      <c r="A44" s="111" t="s">
        <v>143</v>
      </c>
      <c r="B44" s="112"/>
      <c r="D44" s="65"/>
    </row>
    <row r="45" spans="1:2">
      <c r="A45" s="111"/>
      <c r="B45" s="112"/>
    </row>
    <row r="46" spans="1:2">
      <c r="A46" s="111" t="s">
        <v>128</v>
      </c>
      <c r="B46" s="112">
        <f>B22-B24-B36+B43-B44</f>
        <v>26458.8289414972</v>
      </c>
    </row>
    <row r="47" spans="1:2">
      <c r="A47" s="111"/>
      <c r="B47" s="112"/>
    </row>
    <row r="48" spans="1:2">
      <c r="A48" s="111" t="s">
        <v>144</v>
      </c>
      <c r="B48" s="112">
        <f>B46</f>
        <v>26458.8289414972</v>
      </c>
    </row>
    <row r="53" spans="2:2">
      <c r="B53" s="65"/>
    </row>
  </sheetData>
  <mergeCells count="1">
    <mergeCell ref="A1:B1"/>
  </mergeCells>
  <pageMargins left="0.15748031496063" right="0.15748031496063" top="0.984251968503937" bottom="0.984251968503937" header="0.511811023622047" footer="0.511811023622047"/>
  <pageSetup paperSize="9" scale="95" orientation="portrait" verticalDpi="180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6"/>
  <sheetViews>
    <sheetView zoomScale="115" zoomScaleNormal="115" workbookViewId="0">
      <selection activeCell="B5" sqref="B5"/>
    </sheetView>
  </sheetViews>
  <sheetFormatPr defaultColWidth="3.59821428571429" defaultRowHeight="17.6" outlineLevelCol="1"/>
  <cols>
    <col min="1" max="2" width="33" customWidth="1"/>
  </cols>
  <sheetData>
    <row r="1" ht="51" customHeight="1" spans="1:2">
      <c r="A1" s="98" t="s">
        <v>145</v>
      </c>
      <c r="B1" s="98"/>
    </row>
    <row r="2" ht="51" customHeight="1" spans="1:2">
      <c r="A2" s="99" t="s">
        <v>146</v>
      </c>
      <c r="B2" s="98"/>
    </row>
    <row r="3" ht="49.5" customHeight="1" spans="1:2">
      <c r="A3" s="100"/>
      <c r="B3" s="101" t="s">
        <v>147</v>
      </c>
    </row>
    <row r="4" ht="69" customHeight="1" spans="1:2">
      <c r="A4" s="102" t="s">
        <v>148</v>
      </c>
      <c r="B4" s="102" t="s">
        <v>149</v>
      </c>
    </row>
    <row r="5" ht="69" customHeight="1" spans="1:2">
      <c r="A5" s="102" t="s">
        <v>150</v>
      </c>
      <c r="B5" s="103">
        <f>测算表!B7</f>
        <v>121740</v>
      </c>
    </row>
    <row r="6" ht="69" customHeight="1" spans="1:2">
      <c r="A6" s="102" t="s">
        <v>151</v>
      </c>
      <c r="B6" s="103">
        <f>测算表!B25</f>
        <v>5000</v>
      </c>
    </row>
    <row r="7" ht="69" customHeight="1" spans="1:2">
      <c r="A7" s="102" t="s">
        <v>78</v>
      </c>
      <c r="B7" s="103">
        <f>B5+B6</f>
        <v>126740</v>
      </c>
    </row>
    <row r="8" ht="13.5" customHeight="1" spans="1:1">
      <c r="A8" s="100"/>
    </row>
    <row r="9" ht="13.5" customHeight="1"/>
    <row r="10" ht="13.5" customHeight="1"/>
    <row r="11" ht="13.5" customHeight="1" spans="2:2">
      <c r="B11" s="56">
        <f>B5/4500</f>
        <v>27.0533333333333</v>
      </c>
    </row>
    <row r="12" ht="13.5" customHeight="1"/>
    <row r="13" ht="13.5" customHeight="1"/>
    <row r="14" ht="13.5" customHeight="1"/>
    <row r="15" ht="13.5" customHeight="1"/>
    <row r="16" ht="13.5" customHeight="1" spans="1:2">
      <c r="A16" s="104"/>
      <c r="B16" s="104"/>
    </row>
    <row r="17" ht="13.5" customHeight="1" spans="1:2">
      <c r="A17" s="104"/>
      <c r="B17" s="104"/>
    </row>
    <row r="18" ht="13.5" customHeight="1" spans="1:2">
      <c r="A18" s="105"/>
      <c r="B18" s="105"/>
    </row>
    <row r="19" ht="13.5" customHeight="1" spans="1:2">
      <c r="A19" s="105"/>
      <c r="B19" s="105"/>
    </row>
    <row r="20" ht="13.5" customHeight="1" spans="1:2">
      <c r="A20" s="1"/>
      <c r="B20" s="1"/>
    </row>
    <row r="21" ht="13.5" customHeight="1" spans="1:2">
      <c r="A21" s="1"/>
      <c r="B21" s="106"/>
    </row>
    <row r="22" ht="13.5" customHeight="1" spans="1:2">
      <c r="A22" s="1"/>
      <c r="B22" s="106"/>
    </row>
    <row r="23" ht="13.5" customHeight="1" spans="1:2">
      <c r="A23" s="1"/>
      <c r="B23" s="107"/>
    </row>
    <row r="24" ht="13.5" customHeight="1" spans="1:2">
      <c r="A24" s="105"/>
      <c r="B24" s="105"/>
    </row>
    <row r="25" ht="13.5" customHeight="1" spans="1:2">
      <c r="A25" s="105"/>
      <c r="B25" s="105"/>
    </row>
    <row r="26" ht="13.5" customHeight="1" spans="1:2">
      <c r="A26" s="105"/>
      <c r="B26" s="105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</sheetData>
  <mergeCells count="2">
    <mergeCell ref="A1:B1"/>
    <mergeCell ref="A2:B2"/>
  </mergeCells>
  <printOptions horizontalCentered="1"/>
  <pageMargins left="0.393700787401575" right="0.393700787401575" top="0.393700787401575" bottom="0.393700787401575" header="0.196850393700787" footer="0.196850393700787"/>
  <pageSetup paperSize="11" scale="9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tabSelected="1" zoomScale="130" zoomScaleNormal="130" topLeftCell="A3" workbookViewId="0">
      <selection activeCell="J14" sqref="J14"/>
    </sheetView>
  </sheetViews>
  <sheetFormatPr defaultColWidth="9" defaultRowHeight="17.6"/>
  <cols>
    <col min="1" max="6" width="13.9017857142857" style="69" customWidth="1"/>
    <col min="7" max="8" width="16.0982142857143" style="69" customWidth="1"/>
    <col min="9" max="9" width="9" style="69"/>
    <col min="10" max="10" width="15" style="69" customWidth="1"/>
    <col min="11" max="16384" width="9" style="69"/>
  </cols>
  <sheetData>
    <row r="1" ht="31.6" spans="1:6">
      <c r="A1" s="70" t="s">
        <v>152</v>
      </c>
      <c r="B1" s="71"/>
      <c r="C1" s="71"/>
      <c r="D1" s="71"/>
      <c r="E1" s="71"/>
      <c r="F1" s="71"/>
    </row>
    <row r="2" ht="26.25" customHeight="1" spans="1:6">
      <c r="A2" s="72" t="s">
        <v>153</v>
      </c>
      <c r="B2" s="72"/>
      <c r="C2" s="72"/>
      <c r="D2" s="72"/>
      <c r="E2" s="72"/>
      <c r="F2" s="72"/>
    </row>
    <row r="3" ht="42" customHeight="1" spans="1:6">
      <c r="A3" s="73" t="s">
        <v>154</v>
      </c>
      <c r="B3" s="74" t="s">
        <v>55</v>
      </c>
      <c r="C3" s="74" t="s">
        <v>155</v>
      </c>
      <c r="D3" s="74" t="s">
        <v>156</v>
      </c>
      <c r="E3" s="74" t="s">
        <v>58</v>
      </c>
      <c r="F3" s="86" t="s">
        <v>59</v>
      </c>
    </row>
    <row r="4" ht="42" customHeight="1" spans="1:10">
      <c r="A4" s="75" t="s">
        <v>157</v>
      </c>
      <c r="B4" s="76">
        <v>336519.01</v>
      </c>
      <c r="C4" s="77">
        <f>材料!K17-材料!S11</f>
        <v>778924.044571055</v>
      </c>
      <c r="D4" s="78">
        <f>产品成本!B5+测算表!K7</f>
        <v>938011.81097176</v>
      </c>
      <c r="E4" s="77">
        <f>B4+C4-D4</f>
        <v>177431.243599295</v>
      </c>
      <c r="F4" s="87">
        <f>E4/E9</f>
        <v>0.861752431241965</v>
      </c>
      <c r="G4" s="88">
        <f>产品成本!B25</f>
        <v>0.722886827532735</v>
      </c>
      <c r="J4" s="97">
        <f>E6/(G6/G4)-E4</f>
        <v>-2014.47572849656</v>
      </c>
    </row>
    <row r="5" ht="42" customHeight="1" spans="1:10">
      <c r="A5" s="75" t="s">
        <v>158</v>
      </c>
      <c r="B5" s="76">
        <v>43748.56</v>
      </c>
      <c r="C5" s="77">
        <f>测算表!B7</f>
        <v>121740</v>
      </c>
      <c r="D5" s="78">
        <f>产品成本!B7</f>
        <v>139400.256049254</v>
      </c>
      <c r="E5" s="77">
        <f>B5+C5-D5</f>
        <v>26088.303950746</v>
      </c>
      <c r="F5" s="87">
        <f>E5/E9</f>
        <v>0.126706316770831</v>
      </c>
      <c r="G5" s="88">
        <f>产品成本!B26</f>
        <v>0.10743</v>
      </c>
      <c r="J5" s="97">
        <f>E6/(G6/G5)-E5</f>
        <v>-19.1840628109821</v>
      </c>
    </row>
    <row r="6" ht="42" customHeight="1" spans="1:7">
      <c r="A6" s="75" t="s">
        <v>159</v>
      </c>
      <c r="B6" s="76">
        <v>6028.24</v>
      </c>
      <c r="C6" s="77">
        <f>测算表!B10</f>
        <v>9054.9</v>
      </c>
      <c r="D6" s="78">
        <f>产品成本!B9</f>
        <v>12706.8441886484</v>
      </c>
      <c r="E6" s="77">
        <f>B6+C6-D6</f>
        <v>2376.29581135161</v>
      </c>
      <c r="F6" s="87">
        <f>E6/E9</f>
        <v>0.0115412519872035</v>
      </c>
      <c r="G6" s="88">
        <f>产品成本!B27</f>
        <v>0.00979263819073739</v>
      </c>
    </row>
    <row r="7" ht="42" customHeight="1" spans="1:6">
      <c r="A7" s="75" t="s">
        <v>160</v>
      </c>
      <c r="B7" s="76"/>
      <c r="C7" s="77">
        <f>测算表!B9</f>
        <v>3567.6</v>
      </c>
      <c r="D7" s="78">
        <f>产品成本!B10</f>
        <v>3567.6</v>
      </c>
      <c r="E7" s="77"/>
      <c r="F7" s="89"/>
    </row>
    <row r="8" ht="42" customHeight="1" spans="1:6">
      <c r="A8" s="75" t="s">
        <v>51</v>
      </c>
      <c r="B8" s="77"/>
      <c r="C8" s="77">
        <f>测算表!B11</f>
        <v>203905</v>
      </c>
      <c r="D8" s="78">
        <f>产品成本!B11</f>
        <v>203905</v>
      </c>
      <c r="E8" s="77"/>
      <c r="F8" s="89"/>
    </row>
    <row r="9" ht="42" customHeight="1" spans="1:6">
      <c r="A9" s="75" t="s">
        <v>78</v>
      </c>
      <c r="B9" s="77">
        <f>SUM(B4:B8)</f>
        <v>386295.81</v>
      </c>
      <c r="C9" s="77">
        <f>SUM(C4:C8)</f>
        <v>1117191.54457106</v>
      </c>
      <c r="D9" s="78">
        <f>SUM(D4:D8)</f>
        <v>1297591.51120966</v>
      </c>
      <c r="E9" s="77">
        <f>SUM(E4:E8)</f>
        <v>205895.843361392</v>
      </c>
      <c r="F9" s="90"/>
    </row>
    <row r="10" spans="1:5">
      <c r="A10" s="79"/>
      <c r="B10" s="79"/>
      <c r="C10" s="79"/>
      <c r="D10" s="79"/>
      <c r="E10" s="79"/>
    </row>
    <row r="11" spans="1:8">
      <c r="A11" s="80"/>
      <c r="B11" s="80"/>
      <c r="C11" s="80"/>
      <c r="D11" s="80"/>
      <c r="E11" s="80"/>
      <c r="H11" s="91">
        <f>G12-H12</f>
        <v>6.02306120487629</v>
      </c>
    </row>
    <row r="12" spans="5:8">
      <c r="E12" s="92"/>
      <c r="G12" s="93">
        <f>E4+材料!N17</f>
        <v>453264.02902824</v>
      </c>
      <c r="H12" s="93">
        <f>F14*产品成本!B24</f>
        <v>453258.005967035</v>
      </c>
    </row>
    <row r="13" spans="4:5">
      <c r="D13" s="81"/>
      <c r="E13" s="94">
        <f>E9+材料!N17+销售成本!L12*0</f>
        <v>481728.628790337</v>
      </c>
    </row>
    <row r="14" spans="1:10">
      <c r="A14" s="82" t="s">
        <v>126</v>
      </c>
      <c r="B14" s="81">
        <f>6459570.3+测算表!B2</f>
        <v>7527087</v>
      </c>
      <c r="D14" s="83">
        <f>材料!O17</f>
        <v>0</v>
      </c>
      <c r="E14" s="94">
        <f>E13/J14*0.13</f>
        <v>87042.8534097931</v>
      </c>
      <c r="F14" s="81">
        <f>E14/0.13</f>
        <v>669560.410844562</v>
      </c>
      <c r="G14" s="81">
        <f>F14*C15</f>
        <v>15076.3905438208</v>
      </c>
      <c r="J14" s="69">
        <v>0.71947</v>
      </c>
    </row>
    <row r="15" spans="1:5">
      <c r="A15" s="82" t="s">
        <v>161</v>
      </c>
      <c r="B15" s="81">
        <f>143238.94+测算表!D3</f>
        <v>169486.28</v>
      </c>
      <c r="C15" s="84">
        <f>B15/B14</f>
        <v>0.0225168488154847</v>
      </c>
      <c r="D15" s="83">
        <f>D14*0.13</f>
        <v>0</v>
      </c>
      <c r="E15" s="94">
        <f>测算表!G13</f>
        <v>89965.29</v>
      </c>
    </row>
    <row r="16" spans="1:5">
      <c r="A16" s="82" t="s">
        <v>162</v>
      </c>
      <c r="B16" s="81">
        <f>B14*0.0222</f>
        <v>167101.3314</v>
      </c>
      <c r="E16" s="91">
        <f>E14-E15</f>
        <v>-2922.43659020691</v>
      </c>
    </row>
    <row r="17" spans="1:2">
      <c r="A17" s="82" t="s">
        <v>163</v>
      </c>
      <c r="B17" s="81">
        <f>B15-B16</f>
        <v>2384.94860000003</v>
      </c>
    </row>
    <row r="18" spans="5:8">
      <c r="E18" s="91"/>
      <c r="H18" s="91">
        <f>H11-F20</f>
        <v>-120100.734892854</v>
      </c>
    </row>
    <row r="19" spans="2:4">
      <c r="B19" s="81"/>
      <c r="D19" s="81">
        <f>E16-D15</f>
        <v>-2922.43659020691</v>
      </c>
    </row>
    <row r="20" spans="4:8">
      <c r="D20" s="81"/>
      <c r="E20" s="81">
        <f>G14-B17-D19</f>
        <v>15613.8785340277</v>
      </c>
      <c r="F20" s="81">
        <f>E20/0.13</f>
        <v>120106.757954059</v>
      </c>
      <c r="G20" s="95" t="s">
        <v>164</v>
      </c>
      <c r="H20" s="95" t="s">
        <v>165</v>
      </c>
    </row>
    <row r="21" spans="6:7">
      <c r="F21" s="96"/>
      <c r="G21" s="69" t="s">
        <v>166</v>
      </c>
    </row>
    <row r="22" spans="4:4">
      <c r="D22" s="85"/>
    </row>
  </sheetData>
  <mergeCells count="2">
    <mergeCell ref="A1:F1"/>
    <mergeCell ref="A2:F2"/>
  </mergeCells>
  <printOptions horizontalCentered="1"/>
  <pageMargins left="0.393700787401575" right="0.393700787401575" top="0.393700787401575" bottom="0.393700787401575" header="0.196850393700787" footer="0.196850393700787"/>
  <pageSetup paperSize="11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zoomScale="85" zoomScaleNormal="85" workbookViewId="0">
      <selection activeCell="N7" sqref="N7:N24"/>
    </sheetView>
  </sheetViews>
  <sheetFormatPr defaultColWidth="9" defaultRowHeight="17.6"/>
  <cols>
    <col min="1" max="1" width="8.90178571428571" customWidth="1"/>
    <col min="2" max="2" width="13.9017857142857" customWidth="1"/>
    <col min="3" max="5" width="12.9017857142857" customWidth="1"/>
    <col min="6" max="6" width="16.5982142857143" customWidth="1"/>
    <col min="7" max="7" width="10" customWidth="1"/>
    <col min="8" max="8" width="10.5" customWidth="1"/>
    <col min="11" max="11" width="21.5" customWidth="1"/>
    <col min="12" max="12" width="8.90178571428571" customWidth="1"/>
    <col min="13" max="13" width="13.9017857142857" customWidth="1"/>
    <col min="14" max="15" width="12.9017857142857" customWidth="1"/>
    <col min="16" max="16" width="16.5982142857143" customWidth="1"/>
    <col min="18" max="18" width="9.5" customWidth="1"/>
  </cols>
  <sheetData>
    <row r="1" s="9" customFormat="1" ht="28.8" spans="1:18">
      <c r="A1" s="57" t="s">
        <v>145</v>
      </c>
      <c r="B1" s="57"/>
      <c r="C1" s="57"/>
      <c r="D1" s="57"/>
      <c r="E1" s="57"/>
      <c r="F1" s="57"/>
      <c r="L1"/>
      <c r="M1"/>
      <c r="N1"/>
      <c r="O1"/>
      <c r="P1"/>
      <c r="Q1"/>
      <c r="R1"/>
    </row>
    <row r="2" s="9" customFormat="1" ht="28.8" spans="1:18">
      <c r="A2" s="57" t="s">
        <v>167</v>
      </c>
      <c r="B2" s="57"/>
      <c r="C2" s="57"/>
      <c r="D2" s="57"/>
      <c r="E2" s="57"/>
      <c r="F2" s="57"/>
      <c r="L2"/>
      <c r="M2"/>
      <c r="N2"/>
      <c r="O2"/>
      <c r="P2"/>
      <c r="Q2"/>
      <c r="R2"/>
    </row>
    <row r="3" ht="9" customHeight="1"/>
    <row r="4" spans="4:6">
      <c r="D4" s="58"/>
      <c r="E4" s="66" t="s">
        <v>168</v>
      </c>
      <c r="F4" s="66"/>
    </row>
    <row r="5" ht="9" customHeight="1"/>
    <row r="6" ht="24.75" customHeight="1" spans="1:14">
      <c r="A6" s="59" t="s">
        <v>169</v>
      </c>
      <c r="B6" s="59" t="s">
        <v>170</v>
      </c>
      <c r="C6" s="59" t="s">
        <v>171</v>
      </c>
      <c r="D6" s="59" t="s">
        <v>172</v>
      </c>
      <c r="E6" s="59" t="s">
        <v>173</v>
      </c>
      <c r="F6" s="59" t="s">
        <v>174</v>
      </c>
      <c r="J6" t="s">
        <v>175</v>
      </c>
      <c r="M6" t="s">
        <v>170</v>
      </c>
      <c r="N6" t="s">
        <v>171</v>
      </c>
    </row>
    <row r="7" ht="24.75" customHeight="1" spans="1:14">
      <c r="A7" s="60"/>
      <c r="B7" s="60" t="s">
        <v>176</v>
      </c>
      <c r="C7" s="61">
        <v>2800</v>
      </c>
      <c r="D7" s="61">
        <v>0</v>
      </c>
      <c r="E7" s="61">
        <f t="shared" ref="E7:E16" si="0">C7-D7</f>
        <v>2800</v>
      </c>
      <c r="F7" s="60"/>
      <c r="I7" s="66">
        <v>1</v>
      </c>
      <c r="J7" s="67" t="s">
        <v>176</v>
      </c>
      <c r="K7" s="68"/>
      <c r="M7" t="s">
        <v>177</v>
      </c>
      <c r="N7">
        <v>3550</v>
      </c>
    </row>
    <row r="8" ht="24.75" customHeight="1" spans="1:14">
      <c r="A8" s="60"/>
      <c r="B8" s="60" t="s">
        <v>178</v>
      </c>
      <c r="C8" s="61">
        <v>2200</v>
      </c>
      <c r="D8" s="61">
        <v>0</v>
      </c>
      <c r="E8" s="61">
        <f t="shared" si="0"/>
        <v>2200</v>
      </c>
      <c r="F8" s="60"/>
      <c r="I8" s="66">
        <v>2</v>
      </c>
      <c r="J8" s="66" t="s">
        <v>178</v>
      </c>
      <c r="K8" s="68"/>
      <c r="M8" t="s">
        <v>179</v>
      </c>
      <c r="N8">
        <v>4840</v>
      </c>
    </row>
    <row r="9" ht="24.75" customHeight="1" spans="1:14">
      <c r="A9" s="60"/>
      <c r="B9" s="60" t="s">
        <v>180</v>
      </c>
      <c r="C9" s="61">
        <v>4840</v>
      </c>
      <c r="D9" s="61">
        <v>0</v>
      </c>
      <c r="E9" s="61">
        <f t="shared" si="0"/>
        <v>4840</v>
      </c>
      <c r="F9" s="60"/>
      <c r="H9" s="8">
        <f>C9-1000</f>
        <v>3840</v>
      </c>
      <c r="I9" s="66">
        <v>3</v>
      </c>
      <c r="J9" s="67" t="s">
        <v>180</v>
      </c>
      <c r="K9" s="68"/>
      <c r="M9" t="s">
        <v>181</v>
      </c>
      <c r="N9">
        <v>3270</v>
      </c>
    </row>
    <row r="10" ht="24.75" customHeight="1" spans="1:14">
      <c r="A10" s="60"/>
      <c r="B10" s="60" t="s">
        <v>182</v>
      </c>
      <c r="C10" s="61">
        <v>4080</v>
      </c>
      <c r="D10" s="61">
        <v>0</v>
      </c>
      <c r="E10" s="61">
        <f t="shared" si="0"/>
        <v>4080</v>
      </c>
      <c r="F10" s="60"/>
      <c r="H10" s="8">
        <f t="shared" ref="H10:H24" si="1">C10-1000</f>
        <v>3080</v>
      </c>
      <c r="I10" s="66">
        <v>4</v>
      </c>
      <c r="J10" s="67" t="s">
        <v>182</v>
      </c>
      <c r="K10" s="68"/>
      <c r="M10" t="s">
        <v>183</v>
      </c>
      <c r="N10">
        <v>3470</v>
      </c>
    </row>
    <row r="11" ht="24.75" customHeight="1" spans="1:14">
      <c r="A11" s="60"/>
      <c r="B11" s="60" t="s">
        <v>179</v>
      </c>
      <c r="C11" s="61">
        <v>4840</v>
      </c>
      <c r="D11" s="61">
        <v>0</v>
      </c>
      <c r="E11" s="61">
        <f t="shared" si="0"/>
        <v>4840</v>
      </c>
      <c r="F11" s="60"/>
      <c r="H11" s="8">
        <f t="shared" si="1"/>
        <v>3840</v>
      </c>
      <c r="I11" s="66">
        <v>5</v>
      </c>
      <c r="J11" s="67" t="s">
        <v>179</v>
      </c>
      <c r="K11" s="68"/>
      <c r="M11" t="s">
        <v>184</v>
      </c>
      <c r="N11">
        <v>4970</v>
      </c>
    </row>
    <row r="12" ht="24.75" customHeight="1" spans="1:14">
      <c r="A12" s="60"/>
      <c r="B12" s="60" t="s">
        <v>184</v>
      </c>
      <c r="C12" s="61">
        <v>4970</v>
      </c>
      <c r="D12" s="61">
        <v>0</v>
      </c>
      <c r="E12" s="61">
        <f t="shared" si="0"/>
        <v>4970</v>
      </c>
      <c r="F12" s="60"/>
      <c r="H12" s="8">
        <f t="shared" si="1"/>
        <v>3970</v>
      </c>
      <c r="I12" s="66">
        <v>6</v>
      </c>
      <c r="J12" s="67" t="s">
        <v>184</v>
      </c>
      <c r="K12" s="68"/>
      <c r="M12" s="41" t="s">
        <v>185</v>
      </c>
      <c r="N12">
        <v>3750</v>
      </c>
    </row>
    <row r="13" ht="24.75" customHeight="1" spans="1:14">
      <c r="A13" s="60"/>
      <c r="B13" s="60" t="s">
        <v>186</v>
      </c>
      <c r="C13" s="61">
        <v>4860</v>
      </c>
      <c r="D13" s="61">
        <v>0</v>
      </c>
      <c r="E13" s="61">
        <f t="shared" si="0"/>
        <v>4860</v>
      </c>
      <c r="F13" s="60"/>
      <c r="H13" s="8">
        <f t="shared" si="1"/>
        <v>3860</v>
      </c>
      <c r="I13" s="66">
        <v>7</v>
      </c>
      <c r="J13" s="67" t="s">
        <v>186</v>
      </c>
      <c r="K13" s="68"/>
      <c r="M13" t="s">
        <v>176</v>
      </c>
      <c r="N13">
        <v>2800</v>
      </c>
    </row>
    <row r="14" ht="24.75" customHeight="1" spans="1:14">
      <c r="A14" s="60"/>
      <c r="B14" s="60" t="s">
        <v>187</v>
      </c>
      <c r="C14" s="61">
        <f>3680+260</f>
        <v>3940</v>
      </c>
      <c r="D14" s="61">
        <v>0</v>
      </c>
      <c r="E14" s="61">
        <f t="shared" si="0"/>
        <v>3940</v>
      </c>
      <c r="F14" s="60"/>
      <c r="H14" s="8">
        <f t="shared" si="1"/>
        <v>2940</v>
      </c>
      <c r="I14" s="66">
        <v>8</v>
      </c>
      <c r="J14" s="67" t="s">
        <v>187</v>
      </c>
      <c r="K14" s="68"/>
      <c r="M14" t="s">
        <v>187</v>
      </c>
      <c r="N14">
        <v>3940</v>
      </c>
    </row>
    <row r="15" ht="24.75" customHeight="1" spans="1:14">
      <c r="A15" s="60"/>
      <c r="B15" s="60" t="s">
        <v>188</v>
      </c>
      <c r="C15" s="61">
        <v>3680</v>
      </c>
      <c r="D15" s="61">
        <v>0</v>
      </c>
      <c r="E15" s="61">
        <f t="shared" si="0"/>
        <v>3680</v>
      </c>
      <c r="F15" s="60"/>
      <c r="H15" s="8">
        <f t="shared" si="1"/>
        <v>2680</v>
      </c>
      <c r="I15" s="66">
        <v>9</v>
      </c>
      <c r="J15" s="67" t="s">
        <v>188</v>
      </c>
      <c r="K15" s="68"/>
      <c r="M15" t="s">
        <v>178</v>
      </c>
      <c r="N15">
        <v>2200</v>
      </c>
    </row>
    <row r="16" ht="24.75" customHeight="1" spans="1:14">
      <c r="A16" s="60"/>
      <c r="B16" s="60" t="s">
        <v>189</v>
      </c>
      <c r="C16" s="61">
        <v>3320</v>
      </c>
      <c r="D16" s="61">
        <v>0</v>
      </c>
      <c r="E16" s="61">
        <f t="shared" si="0"/>
        <v>3320</v>
      </c>
      <c r="F16" s="60"/>
      <c r="H16" s="8">
        <f t="shared" si="1"/>
        <v>2320</v>
      </c>
      <c r="I16" s="66">
        <v>10</v>
      </c>
      <c r="J16" s="67" t="s">
        <v>189</v>
      </c>
      <c r="K16" s="68"/>
      <c r="M16" t="s">
        <v>190</v>
      </c>
      <c r="N16">
        <v>3310</v>
      </c>
    </row>
    <row r="17" ht="24.75" customHeight="1" spans="1:14">
      <c r="A17" s="60"/>
      <c r="B17" s="60" t="s">
        <v>183</v>
      </c>
      <c r="C17" s="61">
        <v>3470</v>
      </c>
      <c r="D17" s="61">
        <v>0</v>
      </c>
      <c r="E17" s="61">
        <f t="shared" ref="E17:E24" si="2">C17-D17</f>
        <v>3470</v>
      </c>
      <c r="F17" s="60"/>
      <c r="H17" s="8">
        <f t="shared" si="1"/>
        <v>2470</v>
      </c>
      <c r="I17" s="66">
        <v>11</v>
      </c>
      <c r="J17" s="67" t="s">
        <v>183</v>
      </c>
      <c r="M17" t="s">
        <v>191</v>
      </c>
      <c r="N17">
        <v>3820</v>
      </c>
    </row>
    <row r="18" ht="24.75" customHeight="1" spans="1:14">
      <c r="A18" s="60"/>
      <c r="B18" s="60" t="s">
        <v>185</v>
      </c>
      <c r="C18" s="61">
        <v>3750</v>
      </c>
      <c r="D18" s="61">
        <v>0</v>
      </c>
      <c r="E18" s="61">
        <f t="shared" si="2"/>
        <v>3750</v>
      </c>
      <c r="F18" s="60"/>
      <c r="H18" s="8">
        <f t="shared" si="1"/>
        <v>2750</v>
      </c>
      <c r="I18" s="66">
        <v>12</v>
      </c>
      <c r="J18" s="67" t="s">
        <v>185</v>
      </c>
      <c r="M18" t="s">
        <v>189</v>
      </c>
      <c r="N18">
        <v>3320</v>
      </c>
    </row>
    <row r="19" ht="24.75" customHeight="1" spans="1:14">
      <c r="A19" s="60"/>
      <c r="B19" s="62" t="s">
        <v>192</v>
      </c>
      <c r="C19" s="61">
        <v>3380</v>
      </c>
      <c r="D19" s="61">
        <v>0</v>
      </c>
      <c r="E19" s="61">
        <f t="shared" si="2"/>
        <v>3380</v>
      </c>
      <c r="F19" s="60"/>
      <c r="H19" s="8">
        <f t="shared" si="1"/>
        <v>2380</v>
      </c>
      <c r="I19" s="66">
        <v>13</v>
      </c>
      <c r="J19" s="66" t="s">
        <v>192</v>
      </c>
      <c r="M19" t="s">
        <v>192</v>
      </c>
      <c r="N19">
        <v>3380</v>
      </c>
    </row>
    <row r="20" ht="24.75" customHeight="1" spans="1:14">
      <c r="A20" s="60"/>
      <c r="B20" s="60" t="s">
        <v>191</v>
      </c>
      <c r="C20" s="61">
        <v>3820</v>
      </c>
      <c r="D20" s="61">
        <v>0</v>
      </c>
      <c r="E20" s="61">
        <f t="shared" si="2"/>
        <v>3820</v>
      </c>
      <c r="F20" s="60"/>
      <c r="H20" s="8">
        <f t="shared" si="1"/>
        <v>2820</v>
      </c>
      <c r="I20" s="66">
        <v>14</v>
      </c>
      <c r="J20" s="67" t="s">
        <v>191</v>
      </c>
      <c r="M20" t="s">
        <v>186</v>
      </c>
      <c r="N20">
        <v>4860</v>
      </c>
    </row>
    <row r="21" ht="24.75" customHeight="1" spans="1:14">
      <c r="A21" s="60"/>
      <c r="B21" s="60" t="s">
        <v>177</v>
      </c>
      <c r="C21" s="61">
        <v>3550</v>
      </c>
      <c r="D21" s="61">
        <v>0</v>
      </c>
      <c r="E21" s="61">
        <f t="shared" si="2"/>
        <v>3550</v>
      </c>
      <c r="F21" s="60"/>
      <c r="H21" s="8">
        <f t="shared" si="1"/>
        <v>2550</v>
      </c>
      <c r="I21" s="66">
        <v>15</v>
      </c>
      <c r="J21" s="67" t="s">
        <v>177</v>
      </c>
      <c r="M21" t="s">
        <v>180</v>
      </c>
      <c r="N21">
        <v>4840</v>
      </c>
    </row>
    <row r="22" ht="24.75" customHeight="1" spans="1:14">
      <c r="A22" s="60"/>
      <c r="B22" s="60" t="s">
        <v>193</v>
      </c>
      <c r="C22" s="61">
        <f>3470+90</f>
        <v>3560</v>
      </c>
      <c r="D22" s="61">
        <v>0</v>
      </c>
      <c r="E22" s="61">
        <f t="shared" si="2"/>
        <v>3560</v>
      </c>
      <c r="F22" s="60"/>
      <c r="H22" s="8">
        <f t="shared" si="1"/>
        <v>2560</v>
      </c>
      <c r="I22" s="67">
        <v>16</v>
      </c>
      <c r="J22" s="67" t="s">
        <v>193</v>
      </c>
      <c r="M22" t="s">
        <v>193</v>
      </c>
      <c r="N22">
        <v>3560</v>
      </c>
    </row>
    <row r="23" ht="24.75" customHeight="1" spans="1:14">
      <c r="A23" s="60"/>
      <c r="B23" s="60" t="s">
        <v>181</v>
      </c>
      <c r="C23" s="61">
        <v>3270</v>
      </c>
      <c r="D23" s="61">
        <v>0</v>
      </c>
      <c r="E23" s="61">
        <f t="shared" si="2"/>
        <v>3270</v>
      </c>
      <c r="F23" s="60"/>
      <c r="H23" s="8">
        <f t="shared" si="1"/>
        <v>2270</v>
      </c>
      <c r="I23" s="67">
        <v>17</v>
      </c>
      <c r="J23" s="67" t="s">
        <v>181</v>
      </c>
      <c r="M23" t="s">
        <v>182</v>
      </c>
      <c r="N23">
        <v>4080</v>
      </c>
    </row>
    <row r="24" ht="24.75" customHeight="1" spans="1:14">
      <c r="A24" s="60"/>
      <c r="B24" s="60" t="s">
        <v>190</v>
      </c>
      <c r="C24" s="61">
        <v>3310</v>
      </c>
      <c r="D24" s="61">
        <v>0</v>
      </c>
      <c r="E24" s="61">
        <f t="shared" si="2"/>
        <v>3310</v>
      </c>
      <c r="F24" s="60"/>
      <c r="H24" s="8">
        <f t="shared" si="1"/>
        <v>2310</v>
      </c>
      <c r="I24" s="67">
        <v>18</v>
      </c>
      <c r="J24" s="67" t="s">
        <v>190</v>
      </c>
      <c r="M24" t="s">
        <v>188</v>
      </c>
      <c r="N24">
        <v>3680</v>
      </c>
    </row>
    <row r="25" ht="24.75" customHeight="1" spans="1:10">
      <c r="A25" s="60"/>
      <c r="B25" s="60"/>
      <c r="C25" s="61"/>
      <c r="D25" s="61"/>
      <c r="E25" s="61"/>
      <c r="F25" s="60"/>
      <c r="H25" s="8"/>
      <c r="I25" s="67">
        <v>19</v>
      </c>
      <c r="J25" s="67" t="s">
        <v>194</v>
      </c>
    </row>
    <row r="26" ht="24.75" customHeight="1" spans="1:10">
      <c r="A26" s="60"/>
      <c r="B26" s="60"/>
      <c r="C26" s="61"/>
      <c r="D26" s="61"/>
      <c r="E26" s="61"/>
      <c r="F26" s="60"/>
      <c r="H26" s="8"/>
      <c r="I26" s="67">
        <v>20</v>
      </c>
      <c r="J26" s="66" t="s">
        <v>195</v>
      </c>
    </row>
    <row r="27" ht="24.75" customHeight="1" spans="1:10">
      <c r="A27" s="60"/>
      <c r="B27" s="60"/>
      <c r="C27" s="61"/>
      <c r="D27" s="61"/>
      <c r="E27" s="61"/>
      <c r="F27" s="60"/>
      <c r="H27" s="8"/>
      <c r="J27" s="67" t="s">
        <v>196</v>
      </c>
    </row>
    <row r="28" ht="24.75" customHeight="1" spans="1:10">
      <c r="A28" s="60"/>
      <c r="B28" s="60"/>
      <c r="C28" s="61"/>
      <c r="D28" s="61"/>
      <c r="E28" s="61"/>
      <c r="F28" s="60"/>
      <c r="H28" s="8"/>
      <c r="J28" s="67" t="s">
        <v>197</v>
      </c>
    </row>
    <row r="29" ht="24.75" customHeight="1" spans="1:10">
      <c r="A29" s="63" t="s">
        <v>198</v>
      </c>
      <c r="B29" s="64"/>
      <c r="C29" s="61">
        <f>SUM(C7:C28)</f>
        <v>67640</v>
      </c>
      <c r="D29" s="61">
        <f>SUM(D7:D28)</f>
        <v>0</v>
      </c>
      <c r="E29" s="61">
        <f>SUM(E7:E28)</f>
        <v>67640</v>
      </c>
      <c r="F29" s="60"/>
      <c r="J29" t="s">
        <v>199</v>
      </c>
    </row>
    <row r="30" spans="10:10">
      <c r="J30" t="s">
        <v>200</v>
      </c>
    </row>
    <row r="31" spans="3:10">
      <c r="C31" s="8">
        <f>67640-C29</f>
        <v>0</v>
      </c>
      <c r="J31" t="s">
        <v>201</v>
      </c>
    </row>
    <row r="33" spans="2:4">
      <c r="B33" s="41"/>
      <c r="C33" s="65"/>
      <c r="D33" s="41"/>
    </row>
    <row r="34" spans="3:3">
      <c r="C34" s="65"/>
    </row>
    <row r="35" spans="3:3">
      <c r="C35" s="65"/>
    </row>
    <row r="36" spans="2:3">
      <c r="B36" s="41"/>
      <c r="C36" s="65"/>
    </row>
    <row r="37" spans="2:3">
      <c r="B37" s="41"/>
      <c r="C37" s="65"/>
    </row>
    <row r="38" spans="3:3">
      <c r="C38" s="65"/>
    </row>
    <row r="39" spans="2:3">
      <c r="B39" s="41"/>
      <c r="C39" s="65"/>
    </row>
    <row r="40" spans="2:3">
      <c r="B40" s="41"/>
      <c r="C40" s="65"/>
    </row>
    <row r="41" spans="3:3">
      <c r="C41" s="65"/>
    </row>
    <row r="42" spans="2:3">
      <c r="B42" s="41"/>
      <c r="C42" s="65"/>
    </row>
    <row r="43" spans="2:3">
      <c r="B43" s="41"/>
      <c r="C43" s="65"/>
    </row>
    <row r="44" spans="3:3">
      <c r="C44" s="65"/>
    </row>
    <row r="45" spans="2:3">
      <c r="B45" s="41"/>
      <c r="C45" s="65"/>
    </row>
    <row r="46" spans="2:3">
      <c r="B46" s="41"/>
      <c r="C46" s="65"/>
    </row>
    <row r="47" spans="3:3">
      <c r="C47" s="65"/>
    </row>
    <row r="48" spans="2:3">
      <c r="B48" s="41"/>
      <c r="C48" s="65"/>
    </row>
    <row r="49" spans="3:3">
      <c r="C49" s="65"/>
    </row>
    <row r="50" spans="3:3">
      <c r="C50" s="65"/>
    </row>
    <row r="51" spans="2:3">
      <c r="B51" s="41"/>
      <c r="C51" s="65"/>
    </row>
    <row r="52" spans="3:3">
      <c r="C52" s="65"/>
    </row>
    <row r="53" spans="3:3">
      <c r="C53" s="65"/>
    </row>
    <row r="54" spans="2:3">
      <c r="B54" s="41"/>
      <c r="C54" s="65"/>
    </row>
    <row r="55" spans="3:3">
      <c r="C55" s="65"/>
    </row>
    <row r="56" spans="3:3">
      <c r="C56" s="65"/>
    </row>
    <row r="57" spans="2:3">
      <c r="B57" s="41"/>
      <c r="C57" s="65"/>
    </row>
  </sheetData>
  <autoFilter xmlns:etc="http://www.wps.cn/officeDocument/2017/etCustomData" ref="M6:N24" etc:filterBottomFollowUsedRange="0">
    <sortState ref="M6:N24">
      <sortCondition ref="M6"/>
    </sortState>
    <extLst/>
  </autoFilter>
  <mergeCells count="4">
    <mergeCell ref="A1:F1"/>
    <mergeCell ref="A2:F2"/>
    <mergeCell ref="E4:F4"/>
    <mergeCell ref="A29:B29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65"/>
  <sheetViews>
    <sheetView zoomScale="145" zoomScaleNormal="145" topLeftCell="A44" workbookViewId="0">
      <selection activeCell="J65" sqref="J65"/>
    </sheetView>
  </sheetViews>
  <sheetFormatPr defaultColWidth="9" defaultRowHeight="17.6"/>
  <cols>
    <col min="1" max="1" width="11.5982142857143" customWidth="1"/>
    <col min="2" max="2" width="6" customWidth="1"/>
    <col min="3" max="3" width="14" customWidth="1"/>
    <col min="4" max="4" width="8.5" customWidth="1"/>
    <col min="5" max="5" width="15" customWidth="1"/>
    <col min="6" max="6" width="10.5" customWidth="1"/>
    <col min="7" max="7" width="12.5982142857143" customWidth="1"/>
    <col min="10" max="10" width="11.5982142857143" customWidth="1"/>
  </cols>
  <sheetData>
    <row r="3" spans="2:7">
      <c r="B3" s="44" t="s">
        <v>202</v>
      </c>
      <c r="C3" s="44"/>
      <c r="D3" s="44"/>
      <c r="E3" s="44"/>
      <c r="F3" s="44"/>
      <c r="G3" s="44"/>
    </row>
    <row r="4" spans="2:7">
      <c r="B4" s="45" t="s">
        <v>203</v>
      </c>
      <c r="C4" s="45" t="s">
        <v>204</v>
      </c>
      <c r="D4" s="45" t="s">
        <v>10</v>
      </c>
      <c r="E4" s="45" t="s">
        <v>205</v>
      </c>
      <c r="F4" s="45" t="s">
        <v>81</v>
      </c>
      <c r="G4" s="45" t="s">
        <v>206</v>
      </c>
    </row>
    <row r="5" spans="2:7">
      <c r="B5" s="46">
        <v>1</v>
      </c>
      <c r="C5" s="47">
        <v>5962</v>
      </c>
      <c r="D5" s="48">
        <f>E5/C5</f>
        <v>0.784971486078497</v>
      </c>
      <c r="E5" s="54">
        <v>4680</v>
      </c>
      <c r="F5" s="54"/>
      <c r="G5" s="54">
        <f>E5+F5</f>
        <v>4680</v>
      </c>
    </row>
    <row r="6" spans="2:7">
      <c r="B6" s="46">
        <v>2</v>
      </c>
      <c r="C6" s="47">
        <v>8344</v>
      </c>
      <c r="D6" s="48">
        <f t="shared" ref="D6:D17" si="0">E6/C6</f>
        <v>0.784995206136146</v>
      </c>
      <c r="E6" s="54">
        <v>6550</v>
      </c>
      <c r="F6" s="54"/>
      <c r="G6" s="54">
        <f t="shared" ref="G6:G16" si="1">E6+F6</f>
        <v>6550</v>
      </c>
    </row>
    <row r="7" spans="2:7">
      <c r="B7" s="46">
        <v>3</v>
      </c>
      <c r="C7" s="47">
        <v>17771</v>
      </c>
      <c r="D7" s="48">
        <f t="shared" si="0"/>
        <v>0.784986776208429</v>
      </c>
      <c r="E7" s="54">
        <v>13950</v>
      </c>
      <c r="F7" s="54"/>
      <c r="G7" s="54">
        <f t="shared" si="1"/>
        <v>13950</v>
      </c>
    </row>
    <row r="8" spans="2:7">
      <c r="B8" s="46">
        <v>4</v>
      </c>
      <c r="C8" s="47">
        <v>6408</v>
      </c>
      <c r="D8" s="48">
        <f t="shared" si="0"/>
        <v>0.784956304619226</v>
      </c>
      <c r="E8" s="54">
        <v>5030</v>
      </c>
      <c r="F8" s="54"/>
      <c r="G8" s="54">
        <f t="shared" si="1"/>
        <v>5030</v>
      </c>
    </row>
    <row r="9" spans="2:7">
      <c r="B9" s="46">
        <v>5</v>
      </c>
      <c r="C9" s="47">
        <v>6268</v>
      </c>
      <c r="D9" s="48">
        <f t="shared" si="0"/>
        <v>0.784939374601149</v>
      </c>
      <c r="E9" s="54">
        <v>4920</v>
      </c>
      <c r="F9" s="54"/>
      <c r="G9" s="54">
        <f t="shared" si="1"/>
        <v>4920</v>
      </c>
    </row>
    <row r="10" spans="2:7">
      <c r="B10" s="46">
        <v>6</v>
      </c>
      <c r="C10" s="47">
        <v>19465</v>
      </c>
      <c r="D10" s="48">
        <f t="shared" si="0"/>
        <v>0.784998715643463</v>
      </c>
      <c r="E10" s="54">
        <v>15280</v>
      </c>
      <c r="F10" s="54"/>
      <c r="G10" s="54">
        <f t="shared" si="1"/>
        <v>15280</v>
      </c>
    </row>
    <row r="11" spans="2:7">
      <c r="B11" s="46">
        <v>7</v>
      </c>
      <c r="C11" s="47">
        <v>16917</v>
      </c>
      <c r="D11" s="48">
        <f t="shared" si="0"/>
        <v>0.785009162381037</v>
      </c>
      <c r="E11" s="54">
        <v>13280</v>
      </c>
      <c r="F11" s="54"/>
      <c r="G11" s="54">
        <f t="shared" si="1"/>
        <v>13280</v>
      </c>
    </row>
    <row r="12" spans="2:7">
      <c r="B12" s="46">
        <v>8</v>
      </c>
      <c r="C12" s="47">
        <v>22739</v>
      </c>
      <c r="D12" s="48">
        <f t="shared" si="0"/>
        <v>0.784994942609613</v>
      </c>
      <c r="E12" s="54">
        <v>17850</v>
      </c>
      <c r="F12" s="54"/>
      <c r="G12" s="54">
        <f t="shared" si="1"/>
        <v>17850</v>
      </c>
    </row>
    <row r="13" spans="2:7">
      <c r="B13" s="46">
        <v>9</v>
      </c>
      <c r="C13" s="47">
        <v>20280</v>
      </c>
      <c r="D13" s="48">
        <f t="shared" si="0"/>
        <v>0.785009861932939</v>
      </c>
      <c r="E13" s="54">
        <v>15920</v>
      </c>
      <c r="F13" s="54"/>
      <c r="G13" s="54">
        <f t="shared" si="1"/>
        <v>15920</v>
      </c>
    </row>
    <row r="14" spans="2:7">
      <c r="B14" s="46">
        <v>10</v>
      </c>
      <c r="C14" s="47">
        <v>12637</v>
      </c>
      <c r="D14" s="48">
        <f t="shared" si="0"/>
        <v>0.78499643902825</v>
      </c>
      <c r="E14" s="54">
        <v>9920</v>
      </c>
      <c r="F14" s="54"/>
      <c r="G14" s="54">
        <f t="shared" si="1"/>
        <v>9920</v>
      </c>
    </row>
    <row r="15" spans="1:7">
      <c r="A15" s="41" t="s">
        <v>207</v>
      </c>
      <c r="B15" s="46">
        <v>11</v>
      </c>
      <c r="C15" s="47">
        <v>22395</v>
      </c>
      <c r="D15" s="48">
        <f t="shared" si="0"/>
        <v>0.784996651038178</v>
      </c>
      <c r="E15" s="54">
        <v>17580</v>
      </c>
      <c r="F15" s="54"/>
      <c r="G15" s="54">
        <f t="shared" si="1"/>
        <v>17580</v>
      </c>
    </row>
    <row r="16" spans="1:7">
      <c r="A16" s="41" t="s">
        <v>208</v>
      </c>
      <c r="B16" s="46">
        <v>12</v>
      </c>
      <c r="C16" s="47">
        <v>22624</v>
      </c>
      <c r="D16" s="48">
        <f t="shared" si="0"/>
        <v>0.785007072135785</v>
      </c>
      <c r="E16" s="54">
        <v>17760</v>
      </c>
      <c r="F16" s="54"/>
      <c r="G16" s="54">
        <f t="shared" si="1"/>
        <v>17760</v>
      </c>
    </row>
    <row r="17" spans="2:7">
      <c r="B17" s="49"/>
      <c r="C17" s="50">
        <f>SUM(C5:C16)</f>
        <v>181810</v>
      </c>
      <c r="D17" s="51">
        <f t="shared" si="0"/>
        <v>0.784995324789616</v>
      </c>
      <c r="E17" s="50">
        <f>SUM(E5:E16)</f>
        <v>142720</v>
      </c>
      <c r="F17" s="50">
        <f>SUM(F5:F16)</f>
        <v>0</v>
      </c>
      <c r="G17" s="50">
        <f>SUM(G5:G16)</f>
        <v>142720</v>
      </c>
    </row>
    <row r="19" spans="2:7">
      <c r="B19" s="44" t="s">
        <v>209</v>
      </c>
      <c r="C19" s="44"/>
      <c r="D19" s="44"/>
      <c r="E19" s="44"/>
      <c r="F19" s="44"/>
      <c r="G19" s="44"/>
    </row>
    <row r="20" spans="2:7">
      <c r="B20" s="45" t="s">
        <v>203</v>
      </c>
      <c r="C20" s="45" t="s">
        <v>204</v>
      </c>
      <c r="D20" s="45" t="s">
        <v>10</v>
      </c>
      <c r="E20" s="45" t="s">
        <v>205</v>
      </c>
      <c r="F20" s="45" t="s">
        <v>81</v>
      </c>
      <c r="G20" s="45" t="s">
        <v>206</v>
      </c>
    </row>
    <row r="21" ht="18" spans="1:7">
      <c r="A21" s="41" t="s">
        <v>210</v>
      </c>
      <c r="B21" s="46">
        <v>1</v>
      </c>
      <c r="C21" s="47">
        <v>13452</v>
      </c>
      <c r="D21" s="48">
        <f>E21/C21</f>
        <v>0.785013380909902</v>
      </c>
      <c r="E21" s="54">
        <v>10560</v>
      </c>
      <c r="F21" s="54"/>
      <c r="G21" s="54">
        <f>E21+F21</f>
        <v>10560</v>
      </c>
    </row>
    <row r="22" ht="18" spans="1:7">
      <c r="A22" s="41" t="s">
        <v>211</v>
      </c>
      <c r="B22" s="46">
        <v>2</v>
      </c>
      <c r="C22" s="47">
        <v>12076</v>
      </c>
      <c r="D22" s="48">
        <f>E22/C22</f>
        <v>0.785028155018218</v>
      </c>
      <c r="E22" s="54">
        <v>9480</v>
      </c>
      <c r="F22" s="54"/>
      <c r="G22" s="54">
        <f t="shared" ref="G22:G32" si="2">E22+F22</f>
        <v>9480</v>
      </c>
    </row>
    <row r="23" ht="18" spans="1:7">
      <c r="A23" s="41" t="s">
        <v>212</v>
      </c>
      <c r="B23" s="46">
        <v>3</v>
      </c>
      <c r="C23" s="47">
        <v>7465</v>
      </c>
      <c r="D23" s="48">
        <f>E23/C23</f>
        <v>0.784996651038178</v>
      </c>
      <c r="E23" s="54">
        <v>5860</v>
      </c>
      <c r="F23" s="54"/>
      <c r="G23" s="54">
        <f t="shared" si="2"/>
        <v>5860</v>
      </c>
    </row>
    <row r="24" ht="18" spans="1:7">
      <c r="A24" s="41" t="s">
        <v>213</v>
      </c>
      <c r="B24" s="46">
        <v>4</v>
      </c>
      <c r="C24" s="47">
        <v>27322</v>
      </c>
      <c r="D24" s="48">
        <f>E24/C24</f>
        <v>0.875484957177366</v>
      </c>
      <c r="E24" s="54">
        <v>23920</v>
      </c>
      <c r="F24" s="54"/>
      <c r="G24" s="54">
        <f t="shared" si="2"/>
        <v>23920</v>
      </c>
    </row>
    <row r="25" ht="18" spans="1:7">
      <c r="A25" s="41" t="s">
        <v>214</v>
      </c>
      <c r="B25" s="46">
        <v>5</v>
      </c>
      <c r="C25" s="47">
        <v>9580</v>
      </c>
      <c r="D25" s="48">
        <f t="shared" ref="D25:D33" si="3">E25/C25</f>
        <v>1.02004175365344</v>
      </c>
      <c r="E25" s="54">
        <v>9772</v>
      </c>
      <c r="F25" s="54"/>
      <c r="G25" s="54">
        <f t="shared" si="2"/>
        <v>9772</v>
      </c>
    </row>
    <row r="26" ht="18" spans="1:7">
      <c r="A26" s="41" t="s">
        <v>215</v>
      </c>
      <c r="B26" s="46">
        <v>6</v>
      </c>
      <c r="C26" s="47">
        <v>17245</v>
      </c>
      <c r="D26" s="48">
        <f t="shared" si="3"/>
        <v>1.02000579878226</v>
      </c>
      <c r="E26" s="54">
        <v>17590</v>
      </c>
      <c r="F26" s="54"/>
      <c r="G26" s="54">
        <f t="shared" si="2"/>
        <v>17590</v>
      </c>
    </row>
    <row r="27" ht="18" spans="1:7">
      <c r="A27" s="41" t="s">
        <v>216</v>
      </c>
      <c r="B27" s="46">
        <v>7</v>
      </c>
      <c r="C27" s="47">
        <v>8108</v>
      </c>
      <c r="D27" s="48">
        <f t="shared" si="3"/>
        <v>1.01998026640355</v>
      </c>
      <c r="E27" s="54">
        <v>8270</v>
      </c>
      <c r="F27" s="54"/>
      <c r="G27" s="54">
        <f t="shared" si="2"/>
        <v>8270</v>
      </c>
    </row>
    <row r="28" ht="18" spans="1:7">
      <c r="A28" s="41" t="s">
        <v>217</v>
      </c>
      <c r="B28" s="46">
        <v>8</v>
      </c>
      <c r="C28" s="47">
        <v>5716</v>
      </c>
      <c r="D28" s="48">
        <f t="shared" si="3"/>
        <v>1.01994401679496</v>
      </c>
      <c r="E28" s="54">
        <v>5830</v>
      </c>
      <c r="F28" s="54"/>
      <c r="G28" s="54">
        <f t="shared" si="2"/>
        <v>5830</v>
      </c>
    </row>
    <row r="29" ht="18" spans="1:7">
      <c r="A29" s="41" t="s">
        <v>218</v>
      </c>
      <c r="B29" s="46">
        <v>9</v>
      </c>
      <c r="C29" s="47">
        <v>8657</v>
      </c>
      <c r="D29" s="48">
        <f t="shared" si="3"/>
        <v>1.01998382811598</v>
      </c>
      <c r="E29" s="54">
        <v>8830</v>
      </c>
      <c r="F29" s="54"/>
      <c r="G29" s="54">
        <f t="shared" si="2"/>
        <v>8830</v>
      </c>
    </row>
    <row r="30" ht="18" spans="1:7">
      <c r="A30" s="41" t="s">
        <v>219</v>
      </c>
      <c r="B30" s="46">
        <v>10</v>
      </c>
      <c r="C30" s="47">
        <v>6152</v>
      </c>
      <c r="D30" s="48">
        <f t="shared" si="3"/>
        <v>1.01999349804941</v>
      </c>
      <c r="E30" s="54">
        <v>6275</v>
      </c>
      <c r="F30" s="54"/>
      <c r="G30" s="54">
        <f t="shared" si="2"/>
        <v>6275</v>
      </c>
    </row>
    <row r="31" ht="18" spans="1:11">
      <c r="A31" s="41" t="s">
        <v>220</v>
      </c>
      <c r="B31" s="46">
        <v>11</v>
      </c>
      <c r="C31" s="47">
        <v>6647</v>
      </c>
      <c r="D31" s="48">
        <f t="shared" si="3"/>
        <v>1.02000902662855</v>
      </c>
      <c r="E31" s="54">
        <v>6780</v>
      </c>
      <c r="F31" s="54"/>
      <c r="G31" s="54">
        <f t="shared" si="2"/>
        <v>6780</v>
      </c>
      <c r="I31">
        <v>3693.6</v>
      </c>
      <c r="J31" s="42">
        <f>K31/I31</f>
        <v>0.722268247779944</v>
      </c>
      <c r="K31">
        <v>2667.77</v>
      </c>
    </row>
    <row r="32" ht="18" spans="1:11">
      <c r="A32" t="s">
        <v>221</v>
      </c>
      <c r="B32" s="46">
        <v>12</v>
      </c>
      <c r="C32" s="47">
        <v>6398</v>
      </c>
      <c r="D32" s="48">
        <f t="shared" si="3"/>
        <v>1.02</v>
      </c>
      <c r="E32" s="54">
        <v>6525.96</v>
      </c>
      <c r="F32" s="54"/>
      <c r="G32" s="54">
        <f t="shared" si="2"/>
        <v>6525.96</v>
      </c>
      <c r="I32">
        <v>14638.8</v>
      </c>
      <c r="J32" s="42">
        <f>K32/I32</f>
        <v>0.721368554799574</v>
      </c>
      <c r="K32">
        <v>10559.97</v>
      </c>
    </row>
    <row r="33" spans="2:13">
      <c r="B33" s="49"/>
      <c r="C33" s="50">
        <f>SUM(C21:C32)</f>
        <v>128818</v>
      </c>
      <c r="D33" s="51">
        <f t="shared" si="3"/>
        <v>0.929163315685696</v>
      </c>
      <c r="E33" s="50">
        <f>SUM(E21:E32)</f>
        <v>119692.96</v>
      </c>
      <c r="F33" s="50">
        <f>SUM(F21:F32)</f>
        <v>0</v>
      </c>
      <c r="G33" s="50">
        <f>SUM(G21:G32)</f>
        <v>119692.96</v>
      </c>
      <c r="L33" s="55" t="s">
        <v>222</v>
      </c>
      <c r="M33" s="55"/>
    </row>
    <row r="34" spans="12:13">
      <c r="L34" s="55" t="s">
        <v>145</v>
      </c>
      <c r="M34" s="55"/>
    </row>
    <row r="35" ht="18" spans="2:13">
      <c r="B35" s="52" t="s">
        <v>223</v>
      </c>
      <c r="C35" s="44"/>
      <c r="D35" s="44"/>
      <c r="E35" s="44"/>
      <c r="F35" s="44"/>
      <c r="G35" s="44"/>
      <c r="L35" s="55" t="s">
        <v>224</v>
      </c>
      <c r="M35" s="55"/>
    </row>
    <row r="36" spans="2:13">
      <c r="B36" s="45" t="s">
        <v>203</v>
      </c>
      <c r="C36" s="45" t="s">
        <v>204</v>
      </c>
      <c r="D36" s="45" t="s">
        <v>10</v>
      </c>
      <c r="E36" s="45" t="s">
        <v>205</v>
      </c>
      <c r="F36" s="45" t="s">
        <v>81</v>
      </c>
      <c r="G36" s="45" t="s">
        <v>206</v>
      </c>
      <c r="L36" s="55"/>
      <c r="M36" s="55" t="s">
        <v>225</v>
      </c>
    </row>
    <row r="37" ht="18" spans="1:9">
      <c r="A37" s="41" t="s">
        <v>210</v>
      </c>
      <c r="B37" s="46">
        <v>1</v>
      </c>
      <c r="C37" s="47">
        <v>19500</v>
      </c>
      <c r="D37" s="48">
        <f>E37/C37</f>
        <v>0.733168717948718</v>
      </c>
      <c r="E37" s="54">
        <v>14296.79</v>
      </c>
      <c r="F37" s="54"/>
      <c r="G37" s="54">
        <f>E37+F37</f>
        <v>14296.79</v>
      </c>
      <c r="I37">
        <f t="shared" ref="I37:I48" si="4">C37*50</f>
        <v>975000</v>
      </c>
    </row>
    <row r="38" ht="18" spans="1:9">
      <c r="A38" s="41" t="s">
        <v>211</v>
      </c>
      <c r="B38" s="46">
        <v>2</v>
      </c>
      <c r="C38" s="47">
        <v>13535.6</v>
      </c>
      <c r="D38" s="48">
        <f>E38/C38</f>
        <v>0.632449983746565</v>
      </c>
      <c r="E38" s="54">
        <v>8560.59</v>
      </c>
      <c r="F38" s="54">
        <v>1112.88</v>
      </c>
      <c r="G38" s="54">
        <f t="shared" ref="G38:G48" si="5">E38+F38</f>
        <v>9673.47</v>
      </c>
      <c r="I38">
        <f t="shared" si="4"/>
        <v>676780</v>
      </c>
    </row>
    <row r="39" ht="18" spans="1:9">
      <c r="A39" s="41" t="s">
        <v>212</v>
      </c>
      <c r="B39" s="46">
        <v>3</v>
      </c>
      <c r="C39" s="47">
        <v>2168</v>
      </c>
      <c r="D39" s="48">
        <f>E39/C39</f>
        <v>0.648906826568266</v>
      </c>
      <c r="E39" s="54">
        <v>1406.83</v>
      </c>
      <c r="F39" s="54">
        <v>182.89</v>
      </c>
      <c r="G39" s="54">
        <f t="shared" si="5"/>
        <v>1589.72</v>
      </c>
      <c r="I39">
        <f t="shared" si="4"/>
        <v>108400</v>
      </c>
    </row>
    <row r="40" ht="18" spans="1:9">
      <c r="A40" s="41" t="s">
        <v>213</v>
      </c>
      <c r="B40" s="46">
        <v>4</v>
      </c>
      <c r="C40" s="47">
        <v>15748</v>
      </c>
      <c r="D40" s="48">
        <f>E40/C40</f>
        <v>0.638733172466345</v>
      </c>
      <c r="E40" s="54">
        <v>10058.77</v>
      </c>
      <c r="F40" s="54">
        <v>1307.64</v>
      </c>
      <c r="G40" s="54">
        <f t="shared" si="5"/>
        <v>11366.41</v>
      </c>
      <c r="I40">
        <f t="shared" si="4"/>
        <v>787400</v>
      </c>
    </row>
    <row r="41" ht="18" spans="1:9">
      <c r="A41" s="41" t="s">
        <v>214</v>
      </c>
      <c r="B41" s="46">
        <v>5</v>
      </c>
      <c r="C41" s="47">
        <v>15079.6</v>
      </c>
      <c r="D41" s="48">
        <f t="shared" ref="D41:D49" si="6">E41/C41</f>
        <v>0.638821321520465</v>
      </c>
      <c r="E41" s="54">
        <v>9633.17</v>
      </c>
      <c r="F41" s="54">
        <v>1252.31</v>
      </c>
      <c r="G41" s="54">
        <f t="shared" si="5"/>
        <v>10885.48</v>
      </c>
      <c r="I41">
        <f t="shared" si="4"/>
        <v>753980</v>
      </c>
    </row>
    <row r="42" ht="18" spans="1:9">
      <c r="A42" s="41" t="s">
        <v>215</v>
      </c>
      <c r="B42" s="46">
        <v>6</v>
      </c>
      <c r="C42" s="47">
        <v>15882.8</v>
      </c>
      <c r="D42" s="48">
        <f t="shared" si="6"/>
        <v>0.638909386254313</v>
      </c>
      <c r="E42" s="54">
        <v>10147.67</v>
      </c>
      <c r="F42" s="54">
        <v>1319.2</v>
      </c>
      <c r="G42" s="54">
        <f t="shared" si="5"/>
        <v>11466.87</v>
      </c>
      <c r="I42">
        <f t="shared" si="4"/>
        <v>794140</v>
      </c>
    </row>
    <row r="43" ht="18" spans="1:9">
      <c r="A43" s="41" t="s">
        <v>216</v>
      </c>
      <c r="B43" s="46">
        <v>7</v>
      </c>
      <c r="C43" s="47">
        <v>12502.8</v>
      </c>
      <c r="D43" s="48">
        <f t="shared" si="6"/>
        <v>0.611476629235051</v>
      </c>
      <c r="E43" s="54">
        <v>7645.17</v>
      </c>
      <c r="F43" s="54">
        <v>993.87</v>
      </c>
      <c r="G43" s="54">
        <f t="shared" si="5"/>
        <v>8639.04</v>
      </c>
      <c r="I43">
        <f t="shared" si="4"/>
        <v>625140</v>
      </c>
    </row>
    <row r="44" ht="18" spans="1:9">
      <c r="A44" s="41" t="s">
        <v>217</v>
      </c>
      <c r="B44" s="46">
        <v>8</v>
      </c>
      <c r="C44" s="47">
        <v>14659.2</v>
      </c>
      <c r="D44" s="48">
        <f t="shared" si="6"/>
        <v>0.614043058284217</v>
      </c>
      <c r="E44" s="54">
        <v>9001.38</v>
      </c>
      <c r="F44" s="54">
        <v>1170.18</v>
      </c>
      <c r="G44" s="54">
        <f t="shared" si="5"/>
        <v>10171.56</v>
      </c>
      <c r="I44">
        <f t="shared" si="4"/>
        <v>732960</v>
      </c>
    </row>
    <row r="45" ht="18" spans="1:9">
      <c r="A45" s="41" t="s">
        <v>218</v>
      </c>
      <c r="B45" s="46">
        <v>9</v>
      </c>
      <c r="C45" s="47">
        <v>15394.4</v>
      </c>
      <c r="D45" s="48">
        <f t="shared" si="6"/>
        <v>0.628113469833186</v>
      </c>
      <c r="E45" s="54">
        <v>9669.43</v>
      </c>
      <c r="F45" s="54">
        <v>1257.03</v>
      </c>
      <c r="G45" s="54">
        <f t="shared" si="5"/>
        <v>10926.46</v>
      </c>
      <c r="I45">
        <f t="shared" si="4"/>
        <v>769720</v>
      </c>
    </row>
    <row r="46" ht="18" spans="1:9">
      <c r="A46" s="41" t="s">
        <v>219</v>
      </c>
      <c r="B46" s="46">
        <v>10</v>
      </c>
      <c r="C46" s="47">
        <v>13717.6</v>
      </c>
      <c r="D46" s="48">
        <f t="shared" si="6"/>
        <v>0.629264594389689</v>
      </c>
      <c r="E46" s="54">
        <v>8632</v>
      </c>
      <c r="F46" s="54">
        <v>1122.16</v>
      </c>
      <c r="G46" s="54">
        <f t="shared" si="5"/>
        <v>9754.16</v>
      </c>
      <c r="I46">
        <f t="shared" si="4"/>
        <v>685880</v>
      </c>
    </row>
    <row r="47" ht="18" spans="1:9">
      <c r="A47" s="41" t="s">
        <v>220</v>
      </c>
      <c r="B47" s="46">
        <v>11</v>
      </c>
      <c r="C47" s="47">
        <v>14601.6</v>
      </c>
      <c r="D47" s="48">
        <f t="shared" si="6"/>
        <v>0.632450553364015</v>
      </c>
      <c r="E47" s="54">
        <v>9234.79</v>
      </c>
      <c r="F47" s="54">
        <v>1200.52</v>
      </c>
      <c r="G47" s="54">
        <f t="shared" si="5"/>
        <v>10435.31</v>
      </c>
      <c r="I47">
        <f t="shared" si="4"/>
        <v>730080</v>
      </c>
    </row>
    <row r="48" ht="18" spans="1:9">
      <c r="A48" t="s">
        <v>221</v>
      </c>
      <c r="B48" s="46">
        <v>12</v>
      </c>
      <c r="C48" s="47">
        <v>13686.8</v>
      </c>
      <c r="D48" s="48">
        <f t="shared" si="6"/>
        <v>0.621653710144081</v>
      </c>
      <c r="E48" s="54">
        <v>8508.45</v>
      </c>
      <c r="F48" s="54">
        <v>1106.1</v>
      </c>
      <c r="G48" s="54">
        <f t="shared" si="5"/>
        <v>9614.55</v>
      </c>
      <c r="I48">
        <f t="shared" si="4"/>
        <v>684340</v>
      </c>
    </row>
    <row r="49" spans="2:11">
      <c r="B49" s="49"/>
      <c r="C49" s="50">
        <f>SUM(C37:C48)</f>
        <v>166476.4</v>
      </c>
      <c r="D49" s="51">
        <f t="shared" si="6"/>
        <v>0.64150257934458</v>
      </c>
      <c r="E49" s="50">
        <f>SUM(E37:E48)</f>
        <v>106795.04</v>
      </c>
      <c r="F49" s="50">
        <f>SUM(F37:F48)</f>
        <v>12024.78</v>
      </c>
      <c r="G49" s="50">
        <f>SUM(G37:G48)</f>
        <v>118819.82</v>
      </c>
      <c r="I49">
        <f>SUM(I37:I48)</f>
        <v>8323820</v>
      </c>
      <c r="J49" s="39">
        <v>9028864.46</v>
      </c>
      <c r="K49" s="56">
        <f>J49/C49</f>
        <v>54.2351015519317</v>
      </c>
    </row>
    <row r="50" spans="9:10">
      <c r="I50" s="55"/>
      <c r="J50" s="55"/>
    </row>
    <row r="51" spans="2:7">
      <c r="B51" s="52" t="s">
        <v>226</v>
      </c>
      <c r="C51" s="44"/>
      <c r="D51" s="44"/>
      <c r="E51" s="44"/>
      <c r="F51" s="44"/>
      <c r="G51" s="44"/>
    </row>
    <row r="52" spans="2:7">
      <c r="B52" s="45" t="s">
        <v>203</v>
      </c>
      <c r="C52" s="45" t="s">
        <v>204</v>
      </c>
      <c r="D52" s="45" t="s">
        <v>10</v>
      </c>
      <c r="E52" s="45" t="s">
        <v>205</v>
      </c>
      <c r="F52" s="45" t="s">
        <v>81</v>
      </c>
      <c r="G52" s="45" t="s">
        <v>206</v>
      </c>
    </row>
    <row r="53" ht="18" spans="1:9">
      <c r="A53" s="41" t="s">
        <v>210</v>
      </c>
      <c r="B53" s="46">
        <v>1</v>
      </c>
      <c r="C53" s="53">
        <v>14585.2</v>
      </c>
      <c r="D53" s="48">
        <f>E53/C53</f>
        <v>0.631918657269012</v>
      </c>
      <c r="E53" s="54">
        <v>9216.66</v>
      </c>
      <c r="F53" s="54">
        <v>1198.17</v>
      </c>
      <c r="G53" s="54">
        <f>E53+F53</f>
        <v>10414.83</v>
      </c>
      <c r="I53">
        <f t="shared" ref="I53:I64" si="7">C53*50</f>
        <v>729260</v>
      </c>
    </row>
    <row r="54" ht="18" spans="1:9">
      <c r="A54" s="41" t="s">
        <v>211</v>
      </c>
      <c r="B54" s="46">
        <v>2</v>
      </c>
      <c r="C54" s="53">
        <v>9111.2</v>
      </c>
      <c r="D54" s="48">
        <f>E54/C54</f>
        <v>0.637052199490737</v>
      </c>
      <c r="E54" s="54">
        <v>5804.31</v>
      </c>
      <c r="F54" s="54">
        <v>754.56</v>
      </c>
      <c r="G54" s="54">
        <f t="shared" ref="G54:G64" si="8">E54+F54</f>
        <v>6558.87</v>
      </c>
      <c r="I54">
        <f t="shared" si="7"/>
        <v>455560</v>
      </c>
    </row>
    <row r="55" ht="18" spans="1:9">
      <c r="A55" s="41" t="s">
        <v>212</v>
      </c>
      <c r="B55" s="46">
        <v>3</v>
      </c>
      <c r="C55" s="53">
        <v>6703.6</v>
      </c>
      <c r="D55" s="48">
        <f>E55/C55</f>
        <v>0.647052330091294</v>
      </c>
      <c r="E55" s="54">
        <v>4337.58</v>
      </c>
      <c r="F55" s="54">
        <v>563.89</v>
      </c>
      <c r="G55" s="54">
        <f t="shared" si="8"/>
        <v>4901.47</v>
      </c>
      <c r="I55">
        <f t="shared" si="7"/>
        <v>335180</v>
      </c>
    </row>
    <row r="56" ht="18" spans="1:9">
      <c r="A56" s="41" t="s">
        <v>213</v>
      </c>
      <c r="B56" s="46">
        <v>4</v>
      </c>
      <c r="C56" s="53">
        <v>16442</v>
      </c>
      <c r="D56" s="48">
        <f>E56/C56</f>
        <v>0.625281595912906</v>
      </c>
      <c r="E56" s="54">
        <v>10280.88</v>
      </c>
      <c r="F56" s="54">
        <v>1336.52</v>
      </c>
      <c r="G56" s="54">
        <f t="shared" si="8"/>
        <v>11617.4</v>
      </c>
      <c r="I56">
        <f t="shared" si="7"/>
        <v>822100</v>
      </c>
    </row>
    <row r="57" ht="18" spans="1:9">
      <c r="A57" s="41" t="s">
        <v>214</v>
      </c>
      <c r="B57" s="46">
        <v>5</v>
      </c>
      <c r="C57" s="53">
        <v>14260</v>
      </c>
      <c r="D57" s="48">
        <f t="shared" ref="D57:D65" si="9">E57/C57</f>
        <v>0.626166900420757</v>
      </c>
      <c r="E57" s="54">
        <v>8929.14</v>
      </c>
      <c r="F57" s="54">
        <v>1160.79</v>
      </c>
      <c r="G57" s="54">
        <f t="shared" si="8"/>
        <v>10089.93</v>
      </c>
      <c r="I57">
        <f t="shared" si="7"/>
        <v>713000</v>
      </c>
    </row>
    <row r="58" ht="18" spans="1:9">
      <c r="A58" s="41" t="s">
        <v>215</v>
      </c>
      <c r="B58" s="46">
        <v>6</v>
      </c>
      <c r="C58" s="53">
        <v>12711.6</v>
      </c>
      <c r="D58" s="48">
        <f t="shared" si="9"/>
        <v>0.641831083419868</v>
      </c>
      <c r="E58" s="54">
        <v>8158.7</v>
      </c>
      <c r="F58" s="54">
        <v>1060.63</v>
      </c>
      <c r="G58" s="54">
        <f t="shared" si="8"/>
        <v>9219.33</v>
      </c>
      <c r="I58">
        <f t="shared" si="7"/>
        <v>635580</v>
      </c>
    </row>
    <row r="59" ht="18" spans="1:9">
      <c r="A59" s="41" t="s">
        <v>216</v>
      </c>
      <c r="B59" s="46">
        <v>7</v>
      </c>
      <c r="C59" s="53">
        <v>14099.6</v>
      </c>
      <c r="D59" s="48">
        <f t="shared" si="9"/>
        <v>0.61988354279554</v>
      </c>
      <c r="E59" s="54">
        <v>8740.11</v>
      </c>
      <c r="F59" s="54">
        <v>1136.21</v>
      </c>
      <c r="G59" s="54">
        <f t="shared" si="8"/>
        <v>9876.32</v>
      </c>
      <c r="I59">
        <f t="shared" si="7"/>
        <v>704980</v>
      </c>
    </row>
    <row r="60" ht="18" spans="1:9">
      <c r="A60" s="41" t="s">
        <v>217</v>
      </c>
      <c r="B60" s="46">
        <v>8</v>
      </c>
      <c r="C60" s="53">
        <v>12654</v>
      </c>
      <c r="D60" s="48">
        <f t="shared" si="9"/>
        <v>0.602361308677098</v>
      </c>
      <c r="E60" s="54">
        <v>7622.28</v>
      </c>
      <c r="F60" s="54">
        <v>990.9</v>
      </c>
      <c r="G60" s="54">
        <f t="shared" si="8"/>
        <v>8613.18</v>
      </c>
      <c r="I60">
        <f t="shared" si="7"/>
        <v>632700</v>
      </c>
    </row>
    <row r="61" ht="18" spans="1:9">
      <c r="A61" s="41" t="s">
        <v>218</v>
      </c>
      <c r="B61" s="46">
        <v>9</v>
      </c>
      <c r="C61" s="53">
        <v>14051.2</v>
      </c>
      <c r="D61" s="48">
        <f t="shared" si="9"/>
        <v>0.623423622181735</v>
      </c>
      <c r="E61" s="54">
        <v>8759.85</v>
      </c>
      <c r="F61" s="54">
        <v>1138.78</v>
      </c>
      <c r="G61" s="54">
        <f t="shared" si="8"/>
        <v>9898.63</v>
      </c>
      <c r="I61">
        <f t="shared" si="7"/>
        <v>702560</v>
      </c>
    </row>
    <row r="62" ht="18" spans="1:9">
      <c r="A62" s="41" t="s">
        <v>219</v>
      </c>
      <c r="B62" s="46">
        <v>10</v>
      </c>
      <c r="C62" s="53">
        <v>13541.2</v>
      </c>
      <c r="D62" s="48">
        <f t="shared" si="9"/>
        <v>0.636698372374679</v>
      </c>
      <c r="E62" s="54">
        <v>8621.66</v>
      </c>
      <c r="F62" s="54">
        <v>1120.82</v>
      </c>
      <c r="G62" s="54">
        <f t="shared" si="8"/>
        <v>9742.48</v>
      </c>
      <c r="I62">
        <f t="shared" si="7"/>
        <v>677060</v>
      </c>
    </row>
    <row r="63" ht="18" spans="1:9">
      <c r="A63" s="41" t="s">
        <v>220</v>
      </c>
      <c r="B63" s="46">
        <v>11</v>
      </c>
      <c r="C63" s="53">
        <v>14225.6</v>
      </c>
      <c r="D63" s="48">
        <f t="shared" si="9"/>
        <v>0.63652148239793</v>
      </c>
      <c r="E63" s="54">
        <v>9054.9</v>
      </c>
      <c r="F63" s="54">
        <v>1177.14</v>
      </c>
      <c r="G63" s="54">
        <f t="shared" si="8"/>
        <v>10232.04</v>
      </c>
      <c r="I63">
        <f t="shared" si="7"/>
        <v>711280</v>
      </c>
    </row>
    <row r="64" ht="18" spans="1:9">
      <c r="A64" t="s">
        <v>221</v>
      </c>
      <c r="B64" s="46">
        <v>12</v>
      </c>
      <c r="C64" s="53"/>
      <c r="D64" s="48" t="e">
        <f t="shared" si="9"/>
        <v>#DIV/0!</v>
      </c>
      <c r="E64" s="54"/>
      <c r="F64" s="54"/>
      <c r="G64" s="54">
        <f t="shared" si="8"/>
        <v>0</v>
      </c>
      <c r="I64">
        <f t="shared" si="7"/>
        <v>0</v>
      </c>
    </row>
    <row r="65" spans="2:11">
      <c r="B65" s="49"/>
      <c r="C65" s="50">
        <f>SUM(C53:C64)</f>
        <v>142385.2</v>
      </c>
      <c r="D65" s="51">
        <f t="shared" si="9"/>
        <v>0.628759660414144</v>
      </c>
      <c r="E65" s="50">
        <f>SUM(E53:E64)</f>
        <v>89526.07</v>
      </c>
      <c r="F65" s="50">
        <f>SUM(F53:F64)</f>
        <v>11638.41</v>
      </c>
      <c r="G65" s="50">
        <f>SUM(G53:G64)</f>
        <v>101164.48</v>
      </c>
      <c r="I65">
        <f>SUM(I53:I64)</f>
        <v>7119260</v>
      </c>
      <c r="J65" s="39">
        <v>7527087</v>
      </c>
      <c r="K65" s="56">
        <f>J65/C65</f>
        <v>52.8642513407292</v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47"/>
  <sheetViews>
    <sheetView zoomScale="85" zoomScaleNormal="85" topLeftCell="A104" workbookViewId="0">
      <selection activeCell="J140" sqref="J140"/>
    </sheetView>
  </sheetViews>
  <sheetFormatPr defaultColWidth="9" defaultRowHeight="17.6"/>
  <cols>
    <col min="2" max="2" width="11.6964285714286" customWidth="1"/>
    <col min="3" max="3" width="5.59821428571429" customWidth="1"/>
    <col min="4" max="5" width="10.0982142857143" customWidth="1"/>
    <col min="6" max="6" width="12.2946428571429" customWidth="1"/>
    <col min="7" max="7" width="13.5" customWidth="1"/>
    <col min="8" max="8" width="10.0982142857143" customWidth="1"/>
    <col min="9" max="9" width="12.2946428571429" customWidth="1"/>
    <col min="10" max="10" width="10.0982142857143" customWidth="1"/>
    <col min="11" max="11" width="12.2946428571429" customWidth="1"/>
    <col min="12" max="12" width="13.5" customWidth="1"/>
    <col min="13" max="13" width="16.1964285714286" customWidth="1"/>
    <col min="14" max="15" width="12.2946428571429" customWidth="1"/>
    <col min="16" max="16" width="5.5" customWidth="1"/>
    <col min="18" max="19" width="16.0982142857143" customWidth="1"/>
    <col min="20" max="20" width="3.5" customWidth="1"/>
    <col min="21" max="21" width="8" customWidth="1"/>
    <col min="22" max="22" width="8.5" customWidth="1"/>
    <col min="23" max="24" width="11.5982142857143" customWidth="1"/>
    <col min="25" max="25" width="10.5" customWidth="1"/>
  </cols>
  <sheetData>
    <row r="2" spans="2:16">
      <c r="B2" s="12" t="s">
        <v>54</v>
      </c>
      <c r="C2" s="12" t="s">
        <v>42</v>
      </c>
      <c r="D2" s="12" t="s">
        <v>55</v>
      </c>
      <c r="E2" s="12"/>
      <c r="F2" s="12"/>
      <c r="G2" s="12" t="s">
        <v>56</v>
      </c>
      <c r="H2" s="12"/>
      <c r="I2" s="12"/>
      <c r="J2" s="12" t="s">
        <v>57</v>
      </c>
      <c r="K2" s="12"/>
      <c r="L2" s="12"/>
      <c r="M2" s="12" t="s">
        <v>58</v>
      </c>
      <c r="N2" s="12"/>
      <c r="O2" s="12"/>
      <c r="P2" s="12" t="s">
        <v>59</v>
      </c>
    </row>
    <row r="3" spans="2:16">
      <c r="B3" s="12"/>
      <c r="C3" s="12"/>
      <c r="D3" s="12" t="s">
        <v>8</v>
      </c>
      <c r="E3" s="12" t="s">
        <v>10</v>
      </c>
      <c r="F3" s="12" t="s">
        <v>9</v>
      </c>
      <c r="G3" s="12" t="s">
        <v>8</v>
      </c>
      <c r="H3" s="12" t="s">
        <v>10</v>
      </c>
      <c r="I3" s="12" t="s">
        <v>9</v>
      </c>
      <c r="J3" s="12" t="s">
        <v>8</v>
      </c>
      <c r="K3" s="12" t="s">
        <v>10</v>
      </c>
      <c r="L3" s="12" t="s">
        <v>9</v>
      </c>
      <c r="M3" s="12" t="s">
        <v>8</v>
      </c>
      <c r="N3" s="12" t="s">
        <v>10</v>
      </c>
      <c r="O3" s="12" t="s">
        <v>9</v>
      </c>
      <c r="P3" s="12"/>
    </row>
    <row r="4" ht="18" spans="2:16">
      <c r="B4" s="12" t="s">
        <v>60</v>
      </c>
      <c r="C4" s="12" t="s">
        <v>61</v>
      </c>
      <c r="D4" s="12">
        <v>89.063</v>
      </c>
      <c r="E4" s="12">
        <v>3913.43745438622</v>
      </c>
      <c r="F4" s="12">
        <v>348542.48</v>
      </c>
      <c r="G4" s="14">
        <v>178.262</v>
      </c>
      <c r="H4" s="15">
        <v>3720.79360716249</v>
      </c>
      <c r="I4" s="15">
        <v>663276.11</v>
      </c>
      <c r="J4" s="14">
        <v>180.64</v>
      </c>
      <c r="K4" s="18">
        <v>3784.97555410081</v>
      </c>
      <c r="L4" s="15">
        <v>683717.984092771</v>
      </c>
      <c r="M4" s="14">
        <v>86.685</v>
      </c>
      <c r="N4" s="15">
        <v>3784.97555410081</v>
      </c>
      <c r="O4" s="15">
        <v>328100.605907229</v>
      </c>
      <c r="P4" s="33" t="s">
        <v>227</v>
      </c>
    </row>
    <row r="5" ht="18" spans="2:16">
      <c r="B5" s="12" t="s">
        <v>228</v>
      </c>
      <c r="C5" s="12" t="s">
        <v>61</v>
      </c>
      <c r="D5" s="12"/>
      <c r="E5" s="12"/>
      <c r="F5" s="15"/>
      <c r="G5" s="14">
        <v>7.745</v>
      </c>
      <c r="H5" s="15">
        <v>4010.58102001291</v>
      </c>
      <c r="I5" s="15">
        <v>31061.95</v>
      </c>
      <c r="J5" s="14">
        <v>7.745</v>
      </c>
      <c r="K5" s="18">
        <v>4010.58102001291</v>
      </c>
      <c r="L5" s="15">
        <v>31061.95</v>
      </c>
      <c r="M5" s="14">
        <v>0</v>
      </c>
      <c r="N5" s="15" t="e">
        <v>#DIV/0!</v>
      </c>
      <c r="O5" s="15">
        <v>0</v>
      </c>
      <c r="P5" s="33" t="s">
        <v>227</v>
      </c>
    </row>
    <row r="6" spans="2:16">
      <c r="B6" s="12"/>
      <c r="C6" s="12"/>
      <c r="D6" s="12"/>
      <c r="E6" s="12"/>
      <c r="F6" s="12"/>
      <c r="G6" s="14"/>
      <c r="H6" s="15"/>
      <c r="I6" s="15"/>
      <c r="J6" s="14"/>
      <c r="K6" s="18"/>
      <c r="L6" s="15"/>
      <c r="M6" s="14"/>
      <c r="N6" s="15"/>
      <c r="O6" s="15"/>
      <c r="P6" s="33"/>
    </row>
    <row r="7" spans="2:16">
      <c r="B7" s="12"/>
      <c r="C7" s="12"/>
      <c r="D7" s="12"/>
      <c r="E7" s="12"/>
      <c r="F7" s="12"/>
      <c r="G7" s="14"/>
      <c r="H7" s="15"/>
      <c r="I7" s="15"/>
      <c r="J7" s="14"/>
      <c r="K7" s="18"/>
      <c r="L7" s="15"/>
      <c r="M7" s="14"/>
      <c r="N7" s="15"/>
      <c r="O7" s="15"/>
      <c r="P7" s="33"/>
    </row>
    <row r="12" spans="8:16">
      <c r="H12" s="16"/>
      <c r="I12" s="16"/>
      <c r="J12" s="19">
        <f>SUM(J4:J7)</f>
        <v>188.385</v>
      </c>
      <c r="K12" s="20">
        <f>L12/J12</f>
        <v>3794.25078479057</v>
      </c>
      <c r="L12" s="16">
        <f>SUM(L4:L7)</f>
        <v>714779.934092771</v>
      </c>
      <c r="M12" s="16"/>
      <c r="N12" s="16"/>
      <c r="O12" s="16">
        <f>测算表!H20/0.13-O8</f>
        <v>0</v>
      </c>
      <c r="P12" s="10"/>
    </row>
    <row r="13" spans="8:16">
      <c r="H13" s="16"/>
      <c r="I13" s="16"/>
      <c r="J13" s="19">
        <f>J12*0.09</f>
        <v>16.95465</v>
      </c>
      <c r="K13" s="10">
        <v>2930</v>
      </c>
      <c r="L13" s="10">
        <f>J13*K13</f>
        <v>49677.1245</v>
      </c>
      <c r="M13" s="16"/>
      <c r="N13" s="16"/>
      <c r="O13" s="16"/>
      <c r="P13" s="10"/>
    </row>
    <row r="14" spans="8:16">
      <c r="H14" s="16"/>
      <c r="I14" s="21"/>
      <c r="J14" s="16"/>
      <c r="K14" s="10"/>
      <c r="L14" s="10"/>
      <c r="M14" s="16"/>
      <c r="N14" s="16"/>
      <c r="O14" s="16"/>
      <c r="P14" s="10"/>
    </row>
    <row r="15" spans="8:16">
      <c r="H15" s="16"/>
      <c r="I15" s="16"/>
      <c r="J15" s="16"/>
      <c r="K15" s="16"/>
      <c r="L15" s="16"/>
      <c r="M15" s="16"/>
      <c r="N15" s="16"/>
      <c r="O15" s="16"/>
      <c r="P15" s="10"/>
    </row>
    <row r="16" spans="8:16">
      <c r="H16" s="16"/>
      <c r="I16" s="16"/>
      <c r="J16" s="16"/>
      <c r="K16" s="16"/>
      <c r="L16" s="22"/>
      <c r="M16" s="16"/>
      <c r="N16" s="16"/>
      <c r="O16" s="16"/>
      <c r="P16" s="10"/>
    </row>
    <row r="17" spans="8:16">
      <c r="H17" s="16"/>
      <c r="I17" s="23" t="s">
        <v>229</v>
      </c>
      <c r="J17" s="24">
        <v>7</v>
      </c>
      <c r="K17" s="25">
        <v>2700</v>
      </c>
      <c r="L17" s="25">
        <v>18900</v>
      </c>
      <c r="M17" s="34" t="s">
        <v>230</v>
      </c>
      <c r="N17" s="16"/>
      <c r="O17" s="16"/>
      <c r="P17" s="10"/>
    </row>
    <row r="18" spans="8:16">
      <c r="H18" s="16"/>
      <c r="I18" s="23" t="s">
        <v>229</v>
      </c>
      <c r="J18" s="24">
        <v>18.5</v>
      </c>
      <c r="K18" s="25">
        <v>2886.05027027027</v>
      </c>
      <c r="L18" s="25">
        <v>53391.93</v>
      </c>
      <c r="M18" s="34" t="s">
        <v>231</v>
      </c>
      <c r="N18" s="16"/>
      <c r="O18" s="16"/>
      <c r="P18" s="10"/>
    </row>
    <row r="19" spans="8:16">
      <c r="H19" s="16"/>
      <c r="I19" s="23" t="s">
        <v>229</v>
      </c>
      <c r="J19" s="24">
        <v>3.375</v>
      </c>
      <c r="K19" s="25">
        <v>2834.97784150156</v>
      </c>
      <c r="L19" s="25">
        <v>9568.05021506776</v>
      </c>
      <c r="M19" s="34" t="s">
        <v>232</v>
      </c>
      <c r="N19" s="16"/>
      <c r="O19" s="16"/>
      <c r="P19" s="10"/>
    </row>
    <row r="20" spans="8:16">
      <c r="H20" s="16"/>
      <c r="I20" s="23" t="s">
        <v>229</v>
      </c>
      <c r="J20" s="24">
        <v>1.7919</v>
      </c>
      <c r="K20" s="25">
        <v>2834.97784150156</v>
      </c>
      <c r="L20" s="25">
        <v>5079.99679418665</v>
      </c>
      <c r="M20" s="34" t="s">
        <v>233</v>
      </c>
      <c r="N20" s="16"/>
      <c r="O20" s="16"/>
      <c r="P20" s="10"/>
    </row>
    <row r="21" spans="8:16">
      <c r="H21" s="16"/>
      <c r="I21" s="23" t="s">
        <v>229</v>
      </c>
      <c r="J21" s="26">
        <v>6.42321</v>
      </c>
      <c r="K21" s="27">
        <v>2834.97784150156</v>
      </c>
      <c r="L21" s="27">
        <v>18209.66</v>
      </c>
      <c r="M21" s="34" t="s">
        <v>234</v>
      </c>
      <c r="N21" s="16"/>
      <c r="O21" s="16"/>
      <c r="P21" s="10"/>
    </row>
    <row r="22" spans="8:16">
      <c r="H22" s="16"/>
      <c r="I22" s="23" t="s">
        <v>229</v>
      </c>
      <c r="J22" s="26">
        <v>10.06848</v>
      </c>
      <c r="K22" s="27">
        <f>L22/J22</f>
        <v>2834.97807017544</v>
      </c>
      <c r="L22" s="27">
        <v>28543.92</v>
      </c>
      <c r="M22" s="34" t="s">
        <v>235</v>
      </c>
      <c r="N22" s="16"/>
      <c r="O22" s="16"/>
      <c r="P22" s="10"/>
    </row>
    <row r="23" spans="8:16">
      <c r="H23" s="16"/>
      <c r="I23" s="23" t="s">
        <v>229</v>
      </c>
      <c r="J23" s="26">
        <v>10.22121</v>
      </c>
      <c r="K23" s="27">
        <v>2834.97784150156</v>
      </c>
      <c r="L23" s="27">
        <v>28976.9</v>
      </c>
      <c r="M23" s="34" t="s">
        <v>236</v>
      </c>
      <c r="N23" s="16"/>
      <c r="O23" s="16"/>
      <c r="P23" s="10"/>
    </row>
    <row r="24" spans="8:16">
      <c r="H24" s="16"/>
      <c r="I24" s="23" t="s">
        <v>229</v>
      </c>
      <c r="J24" s="26">
        <v>16.785</v>
      </c>
      <c r="K24" s="27">
        <f>L24/J24</f>
        <v>2834.9782543938</v>
      </c>
      <c r="L24" s="27">
        <v>47585.11</v>
      </c>
      <c r="M24" s="34" t="s">
        <v>237</v>
      </c>
      <c r="N24" s="16"/>
      <c r="O24" s="16"/>
      <c r="P24" s="10"/>
    </row>
    <row r="25" spans="8:16">
      <c r="H25" s="16"/>
      <c r="I25" s="23" t="s">
        <v>229</v>
      </c>
      <c r="J25" s="26">
        <v>19.075</v>
      </c>
      <c r="K25" s="27">
        <f>L25/J25</f>
        <v>3299.45216251638</v>
      </c>
      <c r="L25" s="27">
        <v>62937.05</v>
      </c>
      <c r="M25" s="34" t="s">
        <v>238</v>
      </c>
      <c r="N25" s="16"/>
      <c r="O25" s="16"/>
      <c r="P25" s="10"/>
    </row>
    <row r="26" spans="8:16">
      <c r="H26" s="16"/>
      <c r="I26" s="16"/>
      <c r="J26" s="16"/>
      <c r="K26" s="16"/>
      <c r="L26" s="28"/>
      <c r="M26" s="16"/>
      <c r="N26" s="16"/>
      <c r="O26" s="16"/>
      <c r="P26" s="10"/>
    </row>
    <row r="27" spans="8:16">
      <c r="H27" s="16"/>
      <c r="I27" s="16"/>
      <c r="J27" s="19">
        <f>SUM(J17:J26)</f>
        <v>93.2398</v>
      </c>
      <c r="K27" s="16">
        <f>2930</f>
        <v>2930</v>
      </c>
      <c r="L27" s="16">
        <f>SUM(L17:L26)</f>
        <v>273192.617009254</v>
      </c>
      <c r="M27" s="16"/>
      <c r="N27" s="10">
        <f>L27/1.13</f>
        <v>241763.377884296</v>
      </c>
      <c r="O27" s="16">
        <f>生产成本月结表!F11</f>
        <v>0</v>
      </c>
      <c r="P27" s="10"/>
    </row>
    <row r="28" spans="8:16">
      <c r="H28" s="16"/>
      <c r="I28" s="16"/>
      <c r="J28" s="16"/>
      <c r="K28" s="16"/>
      <c r="L28" s="28">
        <f>J27*K27-L17-L18-L19-L20-L21-L22-L23-L24</f>
        <v>62937.0469907456</v>
      </c>
      <c r="M28" s="16"/>
      <c r="N28" s="10"/>
      <c r="O28" s="16">
        <f>N27-O27</f>
        <v>241763.377884296</v>
      </c>
      <c r="P28" s="10"/>
    </row>
    <row r="29" spans="8:16">
      <c r="H29" s="16"/>
      <c r="I29" s="16"/>
      <c r="J29" s="16"/>
      <c r="K29" s="16"/>
      <c r="L29" s="16"/>
      <c r="M29" s="16"/>
      <c r="N29" s="16"/>
      <c r="O29" s="16"/>
      <c r="P29" s="10"/>
    </row>
    <row r="30" spans="8:16">
      <c r="H30" s="16"/>
      <c r="I30" s="16"/>
      <c r="J30" s="29">
        <v>85.324</v>
      </c>
      <c r="K30" s="16">
        <f>L30/J30</f>
        <v>2930.00796962168</v>
      </c>
      <c r="L30" s="30">
        <v>250000</v>
      </c>
      <c r="M30" s="16"/>
      <c r="N30" s="10">
        <f t="shared" ref="N30:N36" si="0">L30/1.13</f>
        <v>221238.938053097</v>
      </c>
      <c r="O30" s="16"/>
      <c r="P30" s="10"/>
    </row>
    <row r="31" spans="8:16">
      <c r="H31" s="16"/>
      <c r="I31" s="16" t="s">
        <v>229</v>
      </c>
      <c r="J31" s="29">
        <f>J27-J30</f>
        <v>7.9158</v>
      </c>
      <c r="K31" s="16">
        <f>L31/J31</f>
        <v>2929.91447601688</v>
      </c>
      <c r="L31" s="30">
        <f>L27-L30</f>
        <v>23192.6170092544</v>
      </c>
      <c r="M31" s="35" t="s">
        <v>238</v>
      </c>
      <c r="N31" s="10">
        <f t="shared" si="0"/>
        <v>20524.4398311986</v>
      </c>
      <c r="O31" s="16">
        <f t="shared" ref="O31:O36" si="1">N31*0.964963653865046</f>
        <v>19805.3384530467</v>
      </c>
      <c r="P31" s="16"/>
    </row>
    <row r="32" spans="8:16">
      <c r="H32" s="16"/>
      <c r="I32" s="16" t="s">
        <v>229</v>
      </c>
      <c r="J32" s="29">
        <v>16.84593</v>
      </c>
      <c r="K32" s="31">
        <f>L32/J32</f>
        <v>2930</v>
      </c>
      <c r="L32" s="30">
        <v>49358.5749</v>
      </c>
      <c r="M32" s="36" t="s">
        <v>239</v>
      </c>
      <c r="N32" s="10">
        <f t="shared" si="0"/>
        <v>43680.1547787611</v>
      </c>
      <c r="O32" s="16">
        <f t="shared" si="1"/>
        <v>42149.761756704</v>
      </c>
      <c r="P32" s="10"/>
    </row>
    <row r="33" spans="8:16">
      <c r="H33" s="16"/>
      <c r="I33" s="16" t="s">
        <v>229</v>
      </c>
      <c r="J33" s="29">
        <v>10.01151</v>
      </c>
      <c r="K33" s="31">
        <f>L33/J33</f>
        <v>2930.06792182198</v>
      </c>
      <c r="L33" s="16">
        <f>29333.7243+0.68</f>
        <v>29334.4043</v>
      </c>
      <c r="M33" s="35" t="s">
        <v>240</v>
      </c>
      <c r="N33" s="10">
        <f t="shared" si="0"/>
        <v>25959.6498230089</v>
      </c>
      <c r="O33" s="16">
        <f t="shared" si="1"/>
        <v>25050.1185462677</v>
      </c>
      <c r="P33" s="10"/>
    </row>
    <row r="34" spans="8:16">
      <c r="H34" s="16"/>
      <c r="I34" s="16" t="s">
        <v>229</v>
      </c>
      <c r="J34" s="29">
        <v>9.83223</v>
      </c>
      <c r="K34" s="31">
        <v>2930</v>
      </c>
      <c r="L34" s="16">
        <v>28808.4339</v>
      </c>
      <c r="M34" s="36" t="s">
        <v>241</v>
      </c>
      <c r="N34" s="10">
        <f t="shared" si="0"/>
        <v>25494.1892920354</v>
      </c>
      <c r="O34" s="16">
        <f t="shared" si="1"/>
        <v>24600.9660515696</v>
      </c>
      <c r="P34" s="10"/>
    </row>
    <row r="35" spans="8:16">
      <c r="H35" s="16"/>
      <c r="I35" s="16" t="s">
        <v>229</v>
      </c>
      <c r="J35" s="29">
        <v>6.52545</v>
      </c>
      <c r="K35" s="31">
        <v>2930</v>
      </c>
      <c r="L35" s="16">
        <v>19119.5685</v>
      </c>
      <c r="M35" s="36" t="s">
        <v>230</v>
      </c>
      <c r="N35" s="10">
        <f t="shared" si="0"/>
        <v>16919.9721238938</v>
      </c>
      <c r="O35" s="16">
        <f t="shared" si="1"/>
        <v>16327.1581239673</v>
      </c>
      <c r="P35" s="10"/>
    </row>
    <row r="36" spans="8:16">
      <c r="H36" s="16"/>
      <c r="I36" s="16" t="s">
        <v>229</v>
      </c>
      <c r="J36" s="29">
        <v>16.95465</v>
      </c>
      <c r="K36" s="31">
        <v>2930</v>
      </c>
      <c r="L36" s="16">
        <v>49677.1245</v>
      </c>
      <c r="M36" s="36" t="s">
        <v>231</v>
      </c>
      <c r="N36" s="10">
        <f t="shared" si="0"/>
        <v>43962.057079646</v>
      </c>
      <c r="O36" s="16">
        <f t="shared" si="1"/>
        <v>42421.7872309989</v>
      </c>
      <c r="P36" s="10"/>
    </row>
    <row r="37" spans="8:16">
      <c r="H37" s="10"/>
      <c r="I37" s="10"/>
      <c r="J37" s="10"/>
      <c r="K37" s="10"/>
      <c r="L37" s="10"/>
      <c r="M37" s="10"/>
      <c r="N37" s="10"/>
      <c r="O37" s="10"/>
      <c r="P37" s="10"/>
    </row>
    <row r="38" spans="8:16">
      <c r="H38" s="10"/>
      <c r="I38" s="10"/>
      <c r="J38" s="10"/>
      <c r="K38" s="10"/>
      <c r="L38" s="10"/>
      <c r="M38" s="10"/>
      <c r="N38" s="10"/>
      <c r="O38" s="10"/>
      <c r="P38" s="10"/>
    </row>
    <row r="39" spans="8:16">
      <c r="H39" s="10"/>
      <c r="I39" s="10"/>
      <c r="J39" s="32">
        <f>SUM(J31:J38)</f>
        <v>68.08557</v>
      </c>
      <c r="K39" s="10">
        <v>2930</v>
      </c>
      <c r="L39" s="16">
        <f>SUM(L31:L38)</f>
        <v>199490.723109254</v>
      </c>
      <c r="M39" s="10"/>
      <c r="N39" s="10">
        <f>SUM(N31:N38)</f>
        <v>176540.462928544</v>
      </c>
      <c r="O39" s="10">
        <f>SUM(O31:O38)</f>
        <v>170355.130162554</v>
      </c>
      <c r="P39" s="10"/>
    </row>
    <row r="40" spans="8:16">
      <c r="H40" s="10"/>
      <c r="I40" s="10"/>
      <c r="J40" s="10"/>
      <c r="K40" s="10"/>
      <c r="L40" s="28">
        <f>J39*K39-L31-L32-L33-L34-L35</f>
        <v>49677.1214907456</v>
      </c>
      <c r="M40" s="10"/>
      <c r="N40" s="10"/>
      <c r="O40" s="10">
        <f>N39-O39</f>
        <v>6185.3327659895</v>
      </c>
      <c r="P40" s="10"/>
    </row>
    <row r="41" spans="8:16">
      <c r="H41" s="10"/>
      <c r="I41" s="10"/>
      <c r="J41" s="10"/>
      <c r="K41" s="10"/>
      <c r="L41" s="10"/>
      <c r="M41" s="10"/>
      <c r="N41" s="10"/>
      <c r="O41" s="10"/>
      <c r="P41" s="10"/>
    </row>
    <row r="42" spans="8:16">
      <c r="H42" s="10"/>
      <c r="I42" s="31" t="s">
        <v>242</v>
      </c>
      <c r="J42" s="32">
        <f>J27-J30+J39</f>
        <v>76.00137</v>
      </c>
      <c r="K42" s="10">
        <f>L42/J42</f>
        <v>2929.99113198234</v>
      </c>
      <c r="L42" s="10">
        <f>L27-L30+L39</f>
        <v>222683.340118509</v>
      </c>
      <c r="M42" s="10"/>
      <c r="N42" s="10"/>
      <c r="O42" s="10"/>
      <c r="P42" s="10"/>
    </row>
    <row r="43" spans="8:16">
      <c r="H43" s="10"/>
      <c r="I43" s="10"/>
      <c r="J43" s="10"/>
      <c r="K43" s="10"/>
      <c r="L43" s="10"/>
      <c r="M43" s="10"/>
      <c r="N43" s="10"/>
      <c r="O43" s="10"/>
      <c r="P43" s="10"/>
    </row>
    <row r="44" spans="8:16">
      <c r="H44" s="10"/>
      <c r="I44" s="10"/>
      <c r="J44" s="10"/>
      <c r="K44" s="10"/>
      <c r="L44" s="10"/>
      <c r="M44" s="10"/>
      <c r="N44" s="10"/>
      <c r="O44" s="10"/>
      <c r="P44" s="10"/>
    </row>
    <row r="45" s="11" customFormat="1" spans="8:18">
      <c r="H45" s="17"/>
      <c r="I45" s="17"/>
      <c r="J45" s="17"/>
      <c r="K45" s="17"/>
      <c r="L45" s="17"/>
      <c r="M45" s="17"/>
      <c r="N45" s="17"/>
      <c r="O45" s="17"/>
      <c r="P45" s="17"/>
      <c r="R45" s="11" t="s">
        <v>243</v>
      </c>
    </row>
    <row r="47" spans="21:25">
      <c r="U47" t="s">
        <v>8</v>
      </c>
      <c r="V47" t="s">
        <v>10</v>
      </c>
      <c r="W47" t="s">
        <v>9</v>
      </c>
      <c r="X47" t="s">
        <v>81</v>
      </c>
      <c r="Y47" t="s">
        <v>244</v>
      </c>
    </row>
    <row r="48" spans="2:25">
      <c r="B48" s="12" t="s">
        <v>54</v>
      </c>
      <c r="C48" s="12" t="s">
        <v>42</v>
      </c>
      <c r="D48" s="12" t="s">
        <v>55</v>
      </c>
      <c r="E48" s="12"/>
      <c r="F48" s="12"/>
      <c r="G48" s="12" t="s">
        <v>56</v>
      </c>
      <c r="H48" s="12"/>
      <c r="I48" s="12"/>
      <c r="J48" s="12" t="s">
        <v>57</v>
      </c>
      <c r="K48" s="12"/>
      <c r="L48" s="12"/>
      <c r="M48" s="12" t="s">
        <v>58</v>
      </c>
      <c r="N48" s="12"/>
      <c r="O48" s="12"/>
      <c r="P48" s="12" t="s">
        <v>59</v>
      </c>
      <c r="R48" s="37">
        <v>45467</v>
      </c>
      <c r="S48" t="s">
        <v>245</v>
      </c>
      <c r="T48" t="s">
        <v>61</v>
      </c>
      <c r="U48">
        <v>68.259</v>
      </c>
      <c r="V48" s="39">
        <f>W48/U48</f>
        <v>2592.93499758274</v>
      </c>
      <c r="W48" s="39">
        <v>176991.15</v>
      </c>
      <c r="X48" s="39">
        <v>23008.85</v>
      </c>
      <c r="Y48" s="39">
        <v>200000</v>
      </c>
    </row>
    <row r="49" spans="2:25">
      <c r="B49" s="12"/>
      <c r="C49" s="12"/>
      <c r="D49" s="12" t="s">
        <v>8</v>
      </c>
      <c r="E49" s="12" t="s">
        <v>10</v>
      </c>
      <c r="F49" s="12" t="s">
        <v>9</v>
      </c>
      <c r="G49" s="12" t="s">
        <v>8</v>
      </c>
      <c r="H49" s="12" t="s">
        <v>10</v>
      </c>
      <c r="I49" s="12" t="s">
        <v>9</v>
      </c>
      <c r="J49" s="12" t="s">
        <v>8</v>
      </c>
      <c r="K49" s="12" t="s">
        <v>10</v>
      </c>
      <c r="L49" s="12" t="s">
        <v>9</v>
      </c>
      <c r="M49" s="12" t="s">
        <v>8</v>
      </c>
      <c r="N49" s="12" t="s">
        <v>10</v>
      </c>
      <c r="O49" s="12" t="s">
        <v>9</v>
      </c>
      <c r="P49" s="12"/>
      <c r="V49" s="39">
        <f>Y48/U48</f>
        <v>2930.01655459353</v>
      </c>
      <c r="W49" s="39"/>
      <c r="X49" s="39"/>
      <c r="Y49" s="39"/>
    </row>
    <row r="50" ht="18" spans="2:16">
      <c r="B50" s="12" t="s">
        <v>60</v>
      </c>
      <c r="C50" s="12" t="s">
        <v>61</v>
      </c>
      <c r="D50" s="12">
        <v>86.685</v>
      </c>
      <c r="E50" s="12">
        <v>3784.97560131511</v>
      </c>
      <c r="F50" s="12">
        <v>328100.61</v>
      </c>
      <c r="G50" s="14">
        <v>75.48</v>
      </c>
      <c r="H50" s="15">
        <v>3820.23489666137</v>
      </c>
      <c r="I50" s="15">
        <v>288351.33</v>
      </c>
      <c r="J50" s="14">
        <v>102.786</v>
      </c>
      <c r="K50" s="18">
        <v>3801.38710572565</v>
      </c>
      <c r="L50" s="15">
        <v>390729.375049116</v>
      </c>
      <c r="M50" s="14">
        <v>59.379</v>
      </c>
      <c r="N50" s="15">
        <v>3801.38710572565</v>
      </c>
      <c r="O50" s="15">
        <v>225722.564950884</v>
      </c>
      <c r="P50" s="33" t="s">
        <v>246</v>
      </c>
    </row>
    <row r="51" ht="18" spans="2:16">
      <c r="B51" s="12" t="s">
        <v>247</v>
      </c>
      <c r="C51" s="12" t="s">
        <v>61</v>
      </c>
      <c r="D51" s="12"/>
      <c r="E51" s="12"/>
      <c r="F51" s="15"/>
      <c r="G51" s="14">
        <v>8.234</v>
      </c>
      <c r="H51" s="15">
        <v>4309.78017974253</v>
      </c>
      <c r="I51" s="15">
        <v>35486.73</v>
      </c>
      <c r="J51" s="14">
        <v>8.234</v>
      </c>
      <c r="K51" s="18">
        <v>4309.78017974253</v>
      </c>
      <c r="L51" s="15">
        <v>35486.73</v>
      </c>
      <c r="M51" s="14">
        <v>0</v>
      </c>
      <c r="N51" s="15" t="e">
        <v>#DIV/0!</v>
      </c>
      <c r="O51" s="15">
        <v>0</v>
      </c>
      <c r="P51" s="33" t="s">
        <v>246</v>
      </c>
    </row>
    <row r="52" ht="18" spans="2:16">
      <c r="B52" s="12" t="s">
        <v>60</v>
      </c>
      <c r="C52" s="12" t="s">
        <v>61</v>
      </c>
      <c r="D52" s="13">
        <v>59.379</v>
      </c>
      <c r="E52" s="12">
        <v>3801.38702234796</v>
      </c>
      <c r="F52" s="12">
        <v>225722.56</v>
      </c>
      <c r="G52" s="14">
        <v>259.376</v>
      </c>
      <c r="H52" s="15">
        <v>3828.82151779656</v>
      </c>
      <c r="I52" s="15">
        <v>993104.41</v>
      </c>
      <c r="J52" s="14">
        <v>79</v>
      </c>
      <c r="K52" s="18">
        <v>3823.71090649558</v>
      </c>
      <c r="L52" s="15">
        <v>302073.161613151</v>
      </c>
      <c r="M52" s="14">
        <v>239.755</v>
      </c>
      <c r="N52" s="15">
        <v>3823.71090649558</v>
      </c>
      <c r="O52" s="15">
        <v>916753.808386849</v>
      </c>
      <c r="P52" s="33" t="s">
        <v>248</v>
      </c>
    </row>
    <row r="53" ht="18" spans="2:16">
      <c r="B53" s="12" t="s">
        <v>60</v>
      </c>
      <c r="C53" s="12" t="s">
        <v>61</v>
      </c>
      <c r="D53" s="14">
        <v>239.755</v>
      </c>
      <c r="E53" s="15">
        <v>3823.71091322392</v>
      </c>
      <c r="F53" s="15">
        <v>916753.81</v>
      </c>
      <c r="G53" s="14">
        <v>104.677</v>
      </c>
      <c r="H53" s="15">
        <v>3678.91093554458</v>
      </c>
      <c r="I53" s="15">
        <v>385097.36</v>
      </c>
      <c r="J53" s="14">
        <v>106.6</v>
      </c>
      <c r="K53" s="18">
        <v>3779.70446996795</v>
      </c>
      <c r="L53" s="15">
        <v>402916.496498583</v>
      </c>
      <c r="M53" s="14">
        <v>237.832</v>
      </c>
      <c r="N53" s="15">
        <v>3779.70446996795</v>
      </c>
      <c r="O53" s="15">
        <v>898934.673501417</v>
      </c>
      <c r="P53" s="33" t="s">
        <v>249</v>
      </c>
    </row>
    <row r="54" ht="18" spans="2:16">
      <c r="B54" s="12" t="s">
        <v>247</v>
      </c>
      <c r="C54" s="12" t="s">
        <v>61</v>
      </c>
      <c r="D54" s="14">
        <v>9.086</v>
      </c>
      <c r="E54" s="15">
        <v>4310.04402377284</v>
      </c>
      <c r="F54" s="15">
        <v>39161.06</v>
      </c>
      <c r="G54" s="14"/>
      <c r="H54" s="15"/>
      <c r="I54" s="15"/>
      <c r="J54" s="14">
        <v>9.086</v>
      </c>
      <c r="K54" s="18">
        <v>4310.04402377284</v>
      </c>
      <c r="L54" s="15">
        <v>39161.06</v>
      </c>
      <c r="M54" s="14">
        <v>0</v>
      </c>
      <c r="N54" s="15" t="e">
        <v>#DIV/0!</v>
      </c>
      <c r="O54" s="15">
        <v>0</v>
      </c>
      <c r="P54" s="33" t="s">
        <v>249</v>
      </c>
    </row>
    <row r="55" ht="18" spans="2:25">
      <c r="B55" s="12" t="s">
        <v>64</v>
      </c>
      <c r="C55" s="12" t="s">
        <v>61</v>
      </c>
      <c r="D55" s="14">
        <v>10.448</v>
      </c>
      <c r="E55" s="15">
        <v>3913.01588820827</v>
      </c>
      <c r="F55" s="15">
        <v>40883.19</v>
      </c>
      <c r="G55" s="14"/>
      <c r="H55" s="15"/>
      <c r="I55" s="15"/>
      <c r="J55" s="14">
        <v>10.448</v>
      </c>
      <c r="K55" s="18">
        <v>3913.01588820827</v>
      </c>
      <c r="L55" s="15">
        <v>40883.19</v>
      </c>
      <c r="M55" s="14">
        <v>0</v>
      </c>
      <c r="N55" s="15" t="e">
        <v>#DIV/0!</v>
      </c>
      <c r="O55" s="15">
        <v>0</v>
      </c>
      <c r="P55" s="33" t="s">
        <v>249</v>
      </c>
      <c r="R55" s="38" t="s">
        <v>250</v>
      </c>
      <c r="S55" t="s">
        <v>245</v>
      </c>
      <c r="T55" t="s">
        <v>61</v>
      </c>
      <c r="U55">
        <v>11.54</v>
      </c>
      <c r="V55">
        <f>W55/U55</f>
        <v>2300.57798960139</v>
      </c>
      <c r="W55">
        <v>26548.67</v>
      </c>
      <c r="X55">
        <v>3451.33</v>
      </c>
      <c r="Y55">
        <v>30000</v>
      </c>
    </row>
    <row r="56" ht="18" spans="2:23">
      <c r="B56" s="12" t="s">
        <v>60</v>
      </c>
      <c r="C56" s="12" t="s">
        <v>61</v>
      </c>
      <c r="D56" s="14">
        <v>237.832</v>
      </c>
      <c r="E56" s="15">
        <v>3779.70445524572</v>
      </c>
      <c r="F56" s="15">
        <v>898934.67</v>
      </c>
      <c r="G56" s="14">
        <v>56.07</v>
      </c>
      <c r="H56" s="15">
        <v>3650.7620831104</v>
      </c>
      <c r="I56" s="15">
        <v>204698.23</v>
      </c>
      <c r="J56" s="14">
        <v>154.8</v>
      </c>
      <c r="K56" s="18">
        <v>3755.10510306156</v>
      </c>
      <c r="L56" s="15">
        <v>581290.26995393</v>
      </c>
      <c r="M56" s="14">
        <v>139.102</v>
      </c>
      <c r="N56" s="15">
        <v>3755.10510306156</v>
      </c>
      <c r="O56" s="15">
        <v>522342.63004607</v>
      </c>
      <c r="P56" s="33" t="s">
        <v>251</v>
      </c>
      <c r="V56" s="39">
        <f>Y55/U55</f>
        <v>2599.65337954939</v>
      </c>
      <c r="W56" s="39">
        <f>W55/N65*O65</f>
        <v>25618.5016084573</v>
      </c>
    </row>
    <row r="57" spans="2:16">
      <c r="B57" s="12"/>
      <c r="C57" s="12"/>
      <c r="D57" s="12"/>
      <c r="E57" s="12"/>
      <c r="F57" s="12"/>
      <c r="G57" s="14"/>
      <c r="H57" s="15"/>
      <c r="I57" s="15"/>
      <c r="J57" s="14"/>
      <c r="K57" s="18"/>
      <c r="L57" s="15"/>
      <c r="M57" s="14"/>
      <c r="N57" s="15"/>
      <c r="O57" s="15"/>
      <c r="P57" s="33"/>
    </row>
    <row r="58" spans="2:16">
      <c r="B58" s="12"/>
      <c r="C58" s="12"/>
      <c r="D58" s="12"/>
      <c r="E58" s="12"/>
      <c r="F58" s="12"/>
      <c r="G58" s="14"/>
      <c r="H58" s="15"/>
      <c r="I58" s="15"/>
      <c r="J58" s="14"/>
      <c r="K58" s="18"/>
      <c r="L58" s="15"/>
      <c r="M58" s="14"/>
      <c r="N58" s="15"/>
      <c r="O58" s="15"/>
      <c r="P58" s="33"/>
    </row>
    <row r="59" spans="2:16">
      <c r="B59" s="12"/>
      <c r="C59" s="12"/>
      <c r="D59" s="12"/>
      <c r="E59" s="12"/>
      <c r="F59" s="12"/>
      <c r="G59" s="14"/>
      <c r="H59" s="15"/>
      <c r="I59" s="15"/>
      <c r="J59" s="14"/>
      <c r="K59" s="18"/>
      <c r="L59" s="15"/>
      <c r="M59" s="14"/>
      <c r="N59" s="15"/>
      <c r="O59" s="15"/>
      <c r="P59" s="33"/>
    </row>
    <row r="63" spans="7:7">
      <c r="G63">
        <f>K64*1.13</f>
        <v>4300.99440692658</v>
      </c>
    </row>
    <row r="64" spans="7:16">
      <c r="G64">
        <f>K65/G63</f>
        <v>0.681237807536171</v>
      </c>
      <c r="H64" s="16"/>
      <c r="I64" s="16"/>
      <c r="J64" s="19">
        <f>SUM(J50:J59)</f>
        <v>470.954</v>
      </c>
      <c r="K64" s="20">
        <f>L64/J64</f>
        <v>3806.18974064299</v>
      </c>
      <c r="L64" s="16">
        <f>SUM(L50:L59)</f>
        <v>1792540.28311478</v>
      </c>
      <c r="M64" s="16"/>
      <c r="N64" s="16"/>
      <c r="O64" s="16"/>
      <c r="P64" s="10"/>
    </row>
    <row r="65" spans="8:16">
      <c r="H65" s="16"/>
      <c r="I65" s="16"/>
      <c r="J65" s="19">
        <f>J64*0.09</f>
        <v>42.38586</v>
      </c>
      <c r="K65" s="10">
        <v>2930</v>
      </c>
      <c r="L65" s="10">
        <f>J65*K65</f>
        <v>124190.5698</v>
      </c>
      <c r="M65" s="16"/>
      <c r="N65" s="10">
        <f>L65/1.13</f>
        <v>109903.159115044</v>
      </c>
      <c r="O65" s="10">
        <f>N65*0.964963653865046</f>
        <v>106052.553990965</v>
      </c>
      <c r="P65" s="10"/>
    </row>
    <row r="66" spans="7:16">
      <c r="G66">
        <f>V56/G63</f>
        <v>0.604430774279258</v>
      </c>
      <c r="H66" s="16"/>
      <c r="I66" s="21"/>
      <c r="J66" s="16"/>
      <c r="K66" s="10"/>
      <c r="L66" s="10"/>
      <c r="M66" s="16"/>
      <c r="N66" s="10"/>
      <c r="O66" s="10">
        <f>N65-O65</f>
        <v>3850.60512407961</v>
      </c>
      <c r="P66" s="10"/>
    </row>
    <row r="67" spans="9:12">
      <c r="I67" s="31" t="s">
        <v>242</v>
      </c>
      <c r="J67" s="32">
        <f>J42-U48+J65</f>
        <v>50.12823</v>
      </c>
      <c r="K67" s="10">
        <f>L67/J67</f>
        <v>2929.9640126633</v>
      </c>
      <c r="L67" s="10">
        <f>L42-Y48+L65</f>
        <v>146873.909918509</v>
      </c>
    </row>
    <row r="69" s="11" customFormat="1" spans="18:18">
      <c r="R69" s="11" t="s">
        <v>243</v>
      </c>
    </row>
    <row r="71" spans="21:25">
      <c r="U71" t="s">
        <v>8</v>
      </c>
      <c r="V71" t="s">
        <v>10</v>
      </c>
      <c r="W71" t="s">
        <v>9</v>
      </c>
      <c r="X71" t="s">
        <v>81</v>
      </c>
      <c r="Y71" t="s">
        <v>244</v>
      </c>
    </row>
    <row r="72" spans="2:25">
      <c r="B72" s="12" t="s">
        <v>54</v>
      </c>
      <c r="C72" s="12" t="s">
        <v>42</v>
      </c>
      <c r="D72" s="12" t="s">
        <v>55</v>
      </c>
      <c r="E72" s="12"/>
      <c r="F72" s="12"/>
      <c r="G72" s="12" t="s">
        <v>56</v>
      </c>
      <c r="H72" s="12"/>
      <c r="I72" s="12"/>
      <c r="J72" s="12" t="s">
        <v>57</v>
      </c>
      <c r="K72" s="12"/>
      <c r="L72" s="12"/>
      <c r="M72" s="12" t="s">
        <v>58</v>
      </c>
      <c r="N72" s="12"/>
      <c r="O72" s="12"/>
      <c r="P72" s="12" t="s">
        <v>59</v>
      </c>
      <c r="R72" s="37" t="s">
        <v>252</v>
      </c>
      <c r="S72" t="s">
        <v>245</v>
      </c>
      <c r="T72" t="s">
        <v>61</v>
      </c>
      <c r="U72">
        <v>39.684</v>
      </c>
      <c r="V72" s="39">
        <f>W72/U72</f>
        <v>2230.0065517589</v>
      </c>
      <c r="W72" s="39">
        <v>88495.58</v>
      </c>
      <c r="X72" s="39">
        <v>11504.42</v>
      </c>
      <c r="Y72" s="39">
        <v>100000</v>
      </c>
    </row>
    <row r="73" spans="2:25">
      <c r="B73" s="12"/>
      <c r="C73" s="12"/>
      <c r="D73" s="12" t="s">
        <v>8</v>
      </c>
      <c r="E73" s="12" t="s">
        <v>10</v>
      </c>
      <c r="F73" s="12" t="s">
        <v>9</v>
      </c>
      <c r="G73" s="12" t="s">
        <v>8</v>
      </c>
      <c r="H73" s="12" t="s">
        <v>10</v>
      </c>
      <c r="I73" s="12" t="s">
        <v>9</v>
      </c>
      <c r="J73" s="12" t="s">
        <v>8</v>
      </c>
      <c r="K73" s="12" t="s">
        <v>10</v>
      </c>
      <c r="L73" s="12" t="s">
        <v>9</v>
      </c>
      <c r="M73" s="12" t="s">
        <v>8</v>
      </c>
      <c r="N73" s="12" t="s">
        <v>10</v>
      </c>
      <c r="O73" s="12" t="s">
        <v>9</v>
      </c>
      <c r="P73" s="12"/>
      <c r="R73" s="37" t="s">
        <v>252</v>
      </c>
      <c r="S73" t="s">
        <v>245</v>
      </c>
      <c r="T73" t="s">
        <v>61</v>
      </c>
      <c r="U73">
        <v>19.842</v>
      </c>
      <c r="V73" s="39">
        <f>W73/U73</f>
        <v>2230.0065517589</v>
      </c>
      <c r="W73" s="39">
        <v>44247.79</v>
      </c>
      <c r="X73" s="39">
        <v>5752.21</v>
      </c>
      <c r="Y73" s="39">
        <v>50000</v>
      </c>
    </row>
    <row r="74" ht="18" spans="2:25">
      <c r="B74" s="12" t="s">
        <v>60</v>
      </c>
      <c r="C74" s="12" t="s">
        <v>61</v>
      </c>
      <c r="D74" s="14">
        <v>139.102</v>
      </c>
      <c r="E74" s="15">
        <v>3755.10510273037</v>
      </c>
      <c r="F74" s="15">
        <v>522342.63</v>
      </c>
      <c r="G74" s="14">
        <v>83.157</v>
      </c>
      <c r="H74" s="15">
        <v>3527.81894488738</v>
      </c>
      <c r="I74" s="15">
        <v>293362.84</v>
      </c>
      <c r="J74" s="14">
        <v>147.2</v>
      </c>
      <c r="K74" s="18">
        <v>3670.06721887528</v>
      </c>
      <c r="L74" s="15">
        <v>540233.894618441</v>
      </c>
      <c r="M74" s="14">
        <v>75.059</v>
      </c>
      <c r="N74" s="15">
        <v>3670.06721887528</v>
      </c>
      <c r="O74" s="15">
        <v>275471.575381559</v>
      </c>
      <c r="P74" s="33" t="s">
        <v>253</v>
      </c>
      <c r="U74">
        <v>59.526</v>
      </c>
      <c r="V74" s="39">
        <f>W74/U74</f>
        <v>2230.0065517589</v>
      </c>
      <c r="W74">
        <v>132743.37</v>
      </c>
      <c r="X74" s="39">
        <f>SUM(X72:X73)</f>
        <v>17256.63</v>
      </c>
      <c r="Y74" s="39">
        <f>SUM(Y72:Y73)</f>
        <v>150000</v>
      </c>
    </row>
    <row r="75" ht="18" spans="2:16">
      <c r="B75" s="12" t="s">
        <v>60</v>
      </c>
      <c r="C75" s="12" t="s">
        <v>61</v>
      </c>
      <c r="D75" s="12">
        <v>75.059</v>
      </c>
      <c r="E75" s="12">
        <v>3670.06728040608</v>
      </c>
      <c r="F75" s="15">
        <v>275471.58</v>
      </c>
      <c r="G75" s="14">
        <v>91.527</v>
      </c>
      <c r="H75" s="15">
        <v>3343.93315633638</v>
      </c>
      <c r="I75" s="15">
        <v>306060.17</v>
      </c>
      <c r="J75" s="14">
        <v>151.8</v>
      </c>
      <c r="K75" s="18">
        <v>3490.88008596161</v>
      </c>
      <c r="L75" s="15">
        <v>529915.597048972</v>
      </c>
      <c r="M75" s="14">
        <v>14.786</v>
      </c>
      <c r="N75" s="15">
        <v>3490.88008596161</v>
      </c>
      <c r="O75" s="15">
        <v>51616.1529510283</v>
      </c>
      <c r="P75" s="33" t="s">
        <v>254</v>
      </c>
    </row>
    <row r="76" ht="18" spans="2:22">
      <c r="B76" s="12" t="s">
        <v>247</v>
      </c>
      <c r="C76" s="12" t="s">
        <v>61</v>
      </c>
      <c r="D76" s="13"/>
      <c r="E76" s="12"/>
      <c r="F76" s="12"/>
      <c r="G76" s="14">
        <v>10.537</v>
      </c>
      <c r="H76" s="15">
        <v>3787.74793584512</v>
      </c>
      <c r="I76" s="15">
        <v>39911.5</v>
      </c>
      <c r="J76" s="14">
        <v>10.537</v>
      </c>
      <c r="K76" s="18">
        <v>3787.74793584512</v>
      </c>
      <c r="L76" s="15">
        <v>39911.5</v>
      </c>
      <c r="M76" s="14">
        <v>0</v>
      </c>
      <c r="N76" s="15" t="e">
        <v>#DIV/0!</v>
      </c>
      <c r="O76" s="15">
        <v>0</v>
      </c>
      <c r="P76" s="33" t="s">
        <v>254</v>
      </c>
      <c r="V76">
        <f>Y74/U74</f>
        <v>2519.90726741256</v>
      </c>
    </row>
    <row r="77" spans="2:16">
      <c r="B77" s="12"/>
      <c r="C77" s="12"/>
      <c r="D77" s="14"/>
      <c r="E77" s="15"/>
      <c r="F77" s="15"/>
      <c r="G77" s="14"/>
      <c r="H77" s="15"/>
      <c r="I77" s="15"/>
      <c r="J77" s="14"/>
      <c r="K77" s="18"/>
      <c r="L77" s="15"/>
      <c r="M77" s="14"/>
      <c r="N77" s="15"/>
      <c r="O77" s="15"/>
      <c r="P77" s="33"/>
    </row>
    <row r="78" spans="2:24">
      <c r="B78" s="12"/>
      <c r="C78" s="12"/>
      <c r="D78" s="14"/>
      <c r="E78" s="15"/>
      <c r="F78" s="15"/>
      <c r="G78" s="14"/>
      <c r="H78" s="15"/>
      <c r="I78" s="15"/>
      <c r="J78" s="14"/>
      <c r="K78" s="18"/>
      <c r="L78" s="15"/>
      <c r="M78" s="14"/>
      <c r="N78" s="15"/>
      <c r="O78" s="15"/>
      <c r="P78" s="33"/>
      <c r="W78" s="10">
        <f>W74/1.13</f>
        <v>117472.008849558</v>
      </c>
      <c r="X78" s="10">
        <f>W78*0.984963653865046</f>
        <v>115705.659063327</v>
      </c>
    </row>
    <row r="79" spans="23:24">
      <c r="W79" s="10"/>
      <c r="X79" s="10">
        <f>W78-X78</f>
        <v>1766.34978623032</v>
      </c>
    </row>
    <row r="80" spans="8:16">
      <c r="H80" s="16"/>
      <c r="I80" s="16"/>
      <c r="J80" s="19">
        <f>SUM(J74:J78)</f>
        <v>309.537</v>
      </c>
      <c r="K80" s="20">
        <f>L80/J80</f>
        <v>3586.19806894624</v>
      </c>
      <c r="L80" s="16">
        <f>SUM(L74:L78)</f>
        <v>1110060.99166741</v>
      </c>
      <c r="M80" s="16"/>
      <c r="N80" s="16"/>
      <c r="O80" s="16"/>
      <c r="P80" s="10"/>
    </row>
    <row r="81" spans="7:16">
      <c r="G81">
        <f>K80*1.13</f>
        <v>4052.40381790925</v>
      </c>
      <c r="H81" s="16"/>
      <c r="I81" s="16"/>
      <c r="J81" s="19">
        <f>J80*0.09</f>
        <v>27.85833</v>
      </c>
      <c r="K81" s="10">
        <v>2519.91</v>
      </c>
      <c r="L81" s="10">
        <f>J81*K81</f>
        <v>70200.4843503</v>
      </c>
      <c r="M81" s="16"/>
      <c r="N81" s="10">
        <f>L81/1.13</f>
        <v>62124.3224338938</v>
      </c>
      <c r="O81" s="10">
        <f>N81*0.964963653865046</f>
        <v>59947.7131697004</v>
      </c>
      <c r="P81" s="10"/>
    </row>
    <row r="82" spans="8:16">
      <c r="H82" s="16"/>
      <c r="I82" s="21"/>
      <c r="J82" s="16"/>
      <c r="K82" s="10"/>
      <c r="L82" s="10"/>
      <c r="M82" s="16"/>
      <c r="N82" s="10"/>
      <c r="O82" s="10">
        <f>N81-O81</f>
        <v>2176.60926419339</v>
      </c>
      <c r="P82" s="10"/>
    </row>
    <row r="83" spans="7:12">
      <c r="G83">
        <f>K84/G81</f>
        <v>0.621830921406074</v>
      </c>
      <c r="I83" s="31" t="s">
        <v>242</v>
      </c>
      <c r="J83" s="32">
        <f>J67-U55+J81</f>
        <v>66.44656</v>
      </c>
      <c r="K83" s="10">
        <f>L83/J83</f>
        <v>2474.03408318354</v>
      </c>
      <c r="L83" s="10">
        <f>L65-Y55+L81</f>
        <v>164391.0541503</v>
      </c>
    </row>
    <row r="84" spans="11:12">
      <c r="K84">
        <v>2519.91</v>
      </c>
      <c r="L84" s="39">
        <f>J83*K84</f>
        <v>167439.3510096</v>
      </c>
    </row>
    <row r="87" s="11" customFormat="1" spans="18:18">
      <c r="R87" s="11" t="s">
        <v>243</v>
      </c>
    </row>
    <row r="90" spans="21:25">
      <c r="U90" t="s">
        <v>8</v>
      </c>
      <c r="V90" t="s">
        <v>10</v>
      </c>
      <c r="W90" t="s">
        <v>9</v>
      </c>
      <c r="X90" t="s">
        <v>81</v>
      </c>
      <c r="Y90" t="s">
        <v>244</v>
      </c>
    </row>
    <row r="91" ht="18" spans="2:25">
      <c r="B91" s="12" t="s">
        <v>54</v>
      </c>
      <c r="C91" s="12" t="s">
        <v>42</v>
      </c>
      <c r="D91" s="12" t="s">
        <v>55</v>
      </c>
      <c r="E91" s="12"/>
      <c r="F91" s="12"/>
      <c r="G91" s="12" t="s">
        <v>56</v>
      </c>
      <c r="H91" s="12"/>
      <c r="I91" s="12"/>
      <c r="J91" s="12" t="s">
        <v>57</v>
      </c>
      <c r="K91" s="12"/>
      <c r="L91" s="12"/>
      <c r="M91" s="12" t="s">
        <v>58</v>
      </c>
      <c r="N91" s="12"/>
      <c r="O91" s="12"/>
      <c r="P91" s="12" t="s">
        <v>59</v>
      </c>
      <c r="R91" s="40" t="s">
        <v>255</v>
      </c>
      <c r="S91" s="41" t="s">
        <v>245</v>
      </c>
      <c r="T91" s="41" t="s">
        <v>61</v>
      </c>
      <c r="U91">
        <v>36.535</v>
      </c>
      <c r="V91" s="39">
        <f>W91/U91</f>
        <v>2179.99233611605</v>
      </c>
      <c r="W91" s="39">
        <v>79646.02</v>
      </c>
      <c r="X91" s="39">
        <v>10353.98</v>
      </c>
      <c r="Y91" s="39">
        <v>90000</v>
      </c>
    </row>
    <row r="92" spans="2:25">
      <c r="B92" s="12"/>
      <c r="C92" s="12"/>
      <c r="D92" s="12" t="s">
        <v>8</v>
      </c>
      <c r="E92" s="12" t="s">
        <v>10</v>
      </c>
      <c r="F92" s="12" t="s">
        <v>9</v>
      </c>
      <c r="G92" s="12" t="s">
        <v>8</v>
      </c>
      <c r="H92" s="12" t="s">
        <v>10</v>
      </c>
      <c r="I92" s="12" t="s">
        <v>9</v>
      </c>
      <c r="J92" s="12" t="s">
        <v>8</v>
      </c>
      <c r="K92" s="12" t="s">
        <v>10</v>
      </c>
      <c r="L92" s="12" t="s">
        <v>9</v>
      </c>
      <c r="M92" s="12" t="s">
        <v>8</v>
      </c>
      <c r="N92" s="12" t="s">
        <v>10</v>
      </c>
      <c r="O92" s="12" t="s">
        <v>9</v>
      </c>
      <c r="P92" s="12"/>
      <c r="V92" s="39"/>
      <c r="W92" s="39"/>
      <c r="X92" s="39"/>
      <c r="Y92" s="39"/>
    </row>
    <row r="93" ht="18" spans="2:25">
      <c r="B93" s="12" t="s">
        <v>60</v>
      </c>
      <c r="C93" s="12" t="s">
        <v>61</v>
      </c>
      <c r="D93" s="14">
        <v>14.786</v>
      </c>
      <c r="E93" s="15">
        <v>3490.87988637901</v>
      </c>
      <c r="F93" s="15">
        <v>51616.15</v>
      </c>
      <c r="G93" s="14">
        <v>202.971</v>
      </c>
      <c r="H93" s="15">
        <v>3581.45242423795</v>
      </c>
      <c r="I93" s="15">
        <v>726930.98</v>
      </c>
      <c r="J93" s="14">
        <v>127.2</v>
      </c>
      <c r="K93" s="18">
        <v>3575.30242426191</v>
      </c>
      <c r="L93" s="15">
        <v>454778.468366115</v>
      </c>
      <c r="M93" s="14">
        <v>90.557</v>
      </c>
      <c r="N93" s="15">
        <v>3575.30242426191</v>
      </c>
      <c r="O93" s="15">
        <v>323768.661633886</v>
      </c>
      <c r="P93" s="33" t="s">
        <v>256</v>
      </c>
      <c r="V93" s="39"/>
      <c r="X93" s="39"/>
      <c r="Y93" s="39"/>
    </row>
    <row r="94" ht="18" spans="2:24">
      <c r="B94" s="12" t="s">
        <v>62</v>
      </c>
      <c r="C94" s="12" t="s">
        <v>61</v>
      </c>
      <c r="D94" s="14"/>
      <c r="E94" s="15"/>
      <c r="F94" s="15"/>
      <c r="G94" s="14">
        <v>12.733</v>
      </c>
      <c r="H94" s="15">
        <v>3885.10406031571</v>
      </c>
      <c r="I94" s="15">
        <v>49469.03</v>
      </c>
      <c r="J94" s="14">
        <v>12.733</v>
      </c>
      <c r="K94" s="18">
        <v>3885.10406031571</v>
      </c>
      <c r="L94" s="15">
        <v>49469.03</v>
      </c>
      <c r="M94" s="14">
        <v>0</v>
      </c>
      <c r="N94" s="15" t="e">
        <v>#DIV/0!</v>
      </c>
      <c r="O94" s="15">
        <v>0</v>
      </c>
      <c r="P94" s="33" t="s">
        <v>256</v>
      </c>
      <c r="W94" s="10">
        <f>W91</f>
        <v>79646.02</v>
      </c>
      <c r="X94" s="10">
        <f>W94*测算表!G25</f>
        <v>74584.654809535</v>
      </c>
    </row>
    <row r="95" ht="18" spans="2:24">
      <c r="B95" s="12" t="s">
        <v>60</v>
      </c>
      <c r="C95" s="12" t="s">
        <v>61</v>
      </c>
      <c r="D95" s="14">
        <v>90.557</v>
      </c>
      <c r="E95" s="15">
        <v>3575.30240621929</v>
      </c>
      <c r="F95" s="15">
        <v>323768.66</v>
      </c>
      <c r="G95" s="14">
        <v>86.292</v>
      </c>
      <c r="H95" s="15">
        <v>3811.99010336995</v>
      </c>
      <c r="I95" s="15">
        <v>328944.25</v>
      </c>
      <c r="J95" s="14">
        <v>162.4</v>
      </c>
      <c r="K95" s="18">
        <v>3690.79220125644</v>
      </c>
      <c r="L95" s="15">
        <v>599384.653484046</v>
      </c>
      <c r="M95" s="14">
        <v>14.449</v>
      </c>
      <c r="N95" s="15">
        <v>3690.79220125644</v>
      </c>
      <c r="O95" s="15">
        <v>53328.2565159544</v>
      </c>
      <c r="P95" s="33" t="s">
        <v>257</v>
      </c>
      <c r="W95" s="10"/>
      <c r="X95" s="10">
        <f>W94-X94</f>
        <v>5061.365190465</v>
      </c>
    </row>
    <row r="96" ht="18" spans="2:16">
      <c r="B96" s="12" t="s">
        <v>60</v>
      </c>
      <c r="C96" s="12" t="s">
        <v>61</v>
      </c>
      <c r="D96" s="14">
        <v>14.449</v>
      </c>
      <c r="E96" s="15">
        <v>3690.79244238355</v>
      </c>
      <c r="F96" s="15">
        <v>53328.26</v>
      </c>
      <c r="G96" s="14">
        <v>58.107</v>
      </c>
      <c r="H96" s="15">
        <v>3460.20186896587</v>
      </c>
      <c r="I96" s="15">
        <v>201061.95</v>
      </c>
      <c r="J96" s="14">
        <v>41.5</v>
      </c>
      <c r="K96" s="18">
        <v>3506.12230552952</v>
      </c>
      <c r="L96" s="15">
        <v>145504.075679475</v>
      </c>
      <c r="M96" s="14">
        <v>31.056</v>
      </c>
      <c r="N96" s="15">
        <v>3506.12230552952</v>
      </c>
      <c r="O96" s="15">
        <v>108886.134320525</v>
      </c>
      <c r="P96" s="33" t="s">
        <v>258</v>
      </c>
    </row>
    <row r="97" ht="18" spans="2:16">
      <c r="B97" s="12" t="s">
        <v>62</v>
      </c>
      <c r="C97" s="12" t="s">
        <v>61</v>
      </c>
      <c r="D97" s="14"/>
      <c r="E97" s="15"/>
      <c r="F97" s="15"/>
      <c r="G97" s="14">
        <v>23.948</v>
      </c>
      <c r="H97" s="15">
        <v>3734.67721730416</v>
      </c>
      <c r="I97" s="15">
        <v>89438.05</v>
      </c>
      <c r="J97" s="14">
        <v>23.948</v>
      </c>
      <c r="K97" s="18">
        <v>3734.67721730416</v>
      </c>
      <c r="L97" s="15">
        <v>89438.05</v>
      </c>
      <c r="M97" s="14">
        <v>0</v>
      </c>
      <c r="N97" s="15" t="e">
        <v>#DIV/0!</v>
      </c>
      <c r="O97" s="15">
        <v>0</v>
      </c>
      <c r="P97" s="33" t="s">
        <v>258</v>
      </c>
    </row>
    <row r="98" spans="2:16">
      <c r="B98" s="12"/>
      <c r="C98" s="12"/>
      <c r="D98" s="13"/>
      <c r="E98" s="12"/>
      <c r="F98" s="12"/>
      <c r="G98" s="14"/>
      <c r="H98" s="15"/>
      <c r="I98" s="15"/>
      <c r="J98" s="14"/>
      <c r="K98" s="18"/>
      <c r="L98" s="15"/>
      <c r="M98" s="14"/>
      <c r="N98" s="15"/>
      <c r="O98" s="15"/>
      <c r="P98" s="33"/>
    </row>
    <row r="99" spans="2:16">
      <c r="B99" s="12"/>
      <c r="C99" s="12"/>
      <c r="D99" s="14"/>
      <c r="E99" s="15"/>
      <c r="F99" s="15"/>
      <c r="G99" s="14"/>
      <c r="H99" s="15"/>
      <c r="I99" s="15"/>
      <c r="J99" s="14"/>
      <c r="K99" s="18"/>
      <c r="L99" s="15"/>
      <c r="M99" s="14"/>
      <c r="N99" s="15"/>
      <c r="O99" s="15"/>
      <c r="P99" s="33"/>
    </row>
    <row r="100" spans="2:16">
      <c r="B100" s="12"/>
      <c r="C100" s="12"/>
      <c r="D100" s="14"/>
      <c r="E100" s="15"/>
      <c r="F100" s="15"/>
      <c r="G100" s="14"/>
      <c r="H100" s="15"/>
      <c r="I100" s="15"/>
      <c r="J100" s="14"/>
      <c r="K100" s="18"/>
      <c r="L100" s="15"/>
      <c r="M100" s="14"/>
      <c r="N100" s="15"/>
      <c r="O100" s="15"/>
      <c r="P100" s="33"/>
    </row>
    <row r="102" spans="8:16">
      <c r="H102" s="16"/>
      <c r="I102" s="16"/>
      <c r="J102" s="19">
        <f>SUM(J93:J100)</f>
        <v>367.781</v>
      </c>
      <c r="K102" s="20">
        <f>L102/J102</f>
        <v>3639.59605724503</v>
      </c>
      <c r="L102" s="16">
        <f>SUM(L93:L100)</f>
        <v>1338574.27752964</v>
      </c>
      <c r="M102" s="16"/>
      <c r="N102" s="16"/>
      <c r="O102" s="16"/>
      <c r="P102" s="10"/>
    </row>
    <row r="103" spans="7:16">
      <c r="G103">
        <f>K102*1.13</f>
        <v>4112.74354468689</v>
      </c>
      <c r="H103" s="16"/>
      <c r="I103" s="16"/>
      <c r="J103" s="19">
        <f>J102*0.12</f>
        <v>44.13372</v>
      </c>
      <c r="K103" s="10">
        <v>2519.91</v>
      </c>
      <c r="L103" s="10">
        <f>J103*K103</f>
        <v>111213.0023652</v>
      </c>
      <c r="M103" s="16"/>
      <c r="P103" s="10"/>
    </row>
    <row r="104" spans="8:16">
      <c r="H104" s="16"/>
      <c r="I104" s="21"/>
      <c r="J104" s="16"/>
      <c r="K104" s="10"/>
      <c r="L104" s="10"/>
      <c r="M104" s="16"/>
      <c r="N104" s="10"/>
      <c r="O104" s="10"/>
      <c r="P104" s="10"/>
    </row>
    <row r="105" spans="7:12">
      <c r="G105">
        <f>K106/G103</f>
        <v>0.598965462603063</v>
      </c>
      <c r="I105" s="31" t="s">
        <v>242</v>
      </c>
      <c r="J105" s="32">
        <f>J83-U74+J103-U91</f>
        <v>14.51928</v>
      </c>
      <c r="K105" s="10">
        <f>L105/J105</f>
        <v>2662.1398151148</v>
      </c>
      <c r="L105" s="10">
        <f>L84-Y74+L103-Y91</f>
        <v>38652.3533747999</v>
      </c>
    </row>
    <row r="106" spans="11:12">
      <c r="K106">
        <f>V91*1.13</f>
        <v>2463.39133981114</v>
      </c>
      <c r="L106" s="39">
        <f>J105*K106</f>
        <v>35766.6686122931</v>
      </c>
    </row>
    <row r="109" s="11" customFormat="1" spans="18:18">
      <c r="R109" s="11" t="s">
        <v>243</v>
      </c>
    </row>
    <row r="111" spans="21:25">
      <c r="U111" t="s">
        <v>8</v>
      </c>
      <c r="V111" t="s">
        <v>10</v>
      </c>
      <c r="W111" t="s">
        <v>9</v>
      </c>
      <c r="X111" t="s">
        <v>81</v>
      </c>
      <c r="Y111" t="s">
        <v>244</v>
      </c>
    </row>
    <row r="112" ht="18" spans="2:25">
      <c r="B112" s="12" t="s">
        <v>54</v>
      </c>
      <c r="C112" s="12" t="s">
        <v>42</v>
      </c>
      <c r="D112" s="12" t="s">
        <v>55</v>
      </c>
      <c r="E112" s="12"/>
      <c r="F112" s="12"/>
      <c r="G112" s="12" t="s">
        <v>56</v>
      </c>
      <c r="H112" s="12"/>
      <c r="I112" s="12"/>
      <c r="J112" s="12" t="s">
        <v>57</v>
      </c>
      <c r="K112" s="12"/>
      <c r="L112" s="12"/>
      <c r="M112" s="12" t="s">
        <v>58</v>
      </c>
      <c r="N112" s="12"/>
      <c r="O112" s="12"/>
      <c r="P112" s="12" t="s">
        <v>59</v>
      </c>
      <c r="R112" s="40" t="s">
        <v>259</v>
      </c>
      <c r="S112" s="41" t="s">
        <v>245</v>
      </c>
      <c r="T112" s="41" t="s">
        <v>61</v>
      </c>
      <c r="U112" s="42">
        <v>41.767</v>
      </c>
      <c r="V112" s="39">
        <f>W112/U112</f>
        <v>2139.9796490052</v>
      </c>
      <c r="W112" s="39">
        <v>89380.53</v>
      </c>
      <c r="X112" s="39">
        <v>11619.47</v>
      </c>
      <c r="Y112" s="39">
        <f>W112+X112</f>
        <v>101000</v>
      </c>
    </row>
    <row r="113" spans="2:25">
      <c r="B113" s="12"/>
      <c r="C113" s="12"/>
      <c r="D113" s="12" t="s">
        <v>8</v>
      </c>
      <c r="E113" s="12" t="s">
        <v>10</v>
      </c>
      <c r="F113" s="12" t="s">
        <v>9</v>
      </c>
      <c r="G113" s="12" t="s">
        <v>8</v>
      </c>
      <c r="H113" s="12" t="s">
        <v>10</v>
      </c>
      <c r="I113" s="12" t="s">
        <v>9</v>
      </c>
      <c r="J113" s="12" t="s">
        <v>8</v>
      </c>
      <c r="K113" s="12" t="s">
        <v>10</v>
      </c>
      <c r="L113" s="12" t="s">
        <v>9</v>
      </c>
      <c r="M113" s="12" t="s">
        <v>8</v>
      </c>
      <c r="N113" s="12" t="s">
        <v>10</v>
      </c>
      <c r="O113" s="12" t="s">
        <v>9</v>
      </c>
      <c r="P113" s="12"/>
      <c r="R113" t="s">
        <v>260</v>
      </c>
      <c r="S113" t="s">
        <v>245</v>
      </c>
      <c r="T113" t="s">
        <v>61</v>
      </c>
      <c r="U113" s="42">
        <v>33.42</v>
      </c>
      <c r="V113" s="39">
        <v>2139.97965290245</v>
      </c>
      <c r="W113" s="39">
        <v>71518.12</v>
      </c>
      <c r="X113" s="39">
        <v>9297.36</v>
      </c>
      <c r="Y113" s="39">
        <v>80815.48</v>
      </c>
    </row>
    <row r="114" ht="18" spans="2:25">
      <c r="B114" s="12" t="s">
        <v>60</v>
      </c>
      <c r="C114" s="12" t="s">
        <v>61</v>
      </c>
      <c r="D114" s="14">
        <v>31.056</v>
      </c>
      <c r="E114" s="15">
        <v>3506.12216640906</v>
      </c>
      <c r="F114" s="15">
        <v>108886.13</v>
      </c>
      <c r="G114" s="14">
        <v>101.234</v>
      </c>
      <c r="H114" s="15">
        <v>3596.75761107928</v>
      </c>
      <c r="I114" s="15">
        <v>364114.16</v>
      </c>
      <c r="J114" s="14">
        <v>68</v>
      </c>
      <c r="K114" s="18">
        <v>3575.48030841333</v>
      </c>
      <c r="L114" s="15">
        <v>243132.660972107</v>
      </c>
      <c r="M114" s="14">
        <v>64.29</v>
      </c>
      <c r="N114" s="15">
        <v>3575.48030841333</v>
      </c>
      <c r="O114" s="15">
        <v>229867.629027893</v>
      </c>
      <c r="P114" s="33" t="s">
        <v>261</v>
      </c>
      <c r="R114" t="s">
        <v>260</v>
      </c>
      <c r="S114" t="s">
        <v>245</v>
      </c>
      <c r="T114" t="s">
        <v>61</v>
      </c>
      <c r="U114" s="42">
        <v>30.435</v>
      </c>
      <c r="V114" s="39">
        <v>2139.97962871694</v>
      </c>
      <c r="W114">
        <v>65130.28</v>
      </c>
      <c r="X114" s="39">
        <v>8466.94</v>
      </c>
      <c r="Y114" s="39">
        <v>73597.22</v>
      </c>
    </row>
    <row r="115" ht="18" spans="2:16">
      <c r="B115" s="12" t="s">
        <v>62</v>
      </c>
      <c r="C115" s="12" t="s">
        <v>61</v>
      </c>
      <c r="D115" s="14"/>
      <c r="E115" s="15"/>
      <c r="F115" s="15"/>
      <c r="G115" s="14">
        <v>12.34</v>
      </c>
      <c r="H115" s="15">
        <v>3743.49189627229</v>
      </c>
      <c r="I115" s="15">
        <v>46194.69</v>
      </c>
      <c r="J115" s="14">
        <v>12.34</v>
      </c>
      <c r="K115" s="18">
        <v>3743.49189627229</v>
      </c>
      <c r="L115" s="15">
        <v>46194.69</v>
      </c>
      <c r="M115" s="14">
        <v>0</v>
      </c>
      <c r="N115" s="15" t="e">
        <v>#DIV/0!</v>
      </c>
      <c r="O115" s="15">
        <v>0</v>
      </c>
      <c r="P115" s="33" t="s">
        <v>261</v>
      </c>
    </row>
    <row r="116" ht="18" spans="2:16">
      <c r="B116" s="12" t="s">
        <v>60</v>
      </c>
      <c r="C116" s="12" t="s">
        <v>61</v>
      </c>
      <c r="D116" s="14">
        <v>64.29</v>
      </c>
      <c r="E116" s="15">
        <v>3575.48032353398</v>
      </c>
      <c r="F116" s="15">
        <v>229867.63</v>
      </c>
      <c r="G116" s="14">
        <v>122.304</v>
      </c>
      <c r="H116" s="15">
        <v>3482.3063840921</v>
      </c>
      <c r="I116" s="15">
        <v>425900</v>
      </c>
      <c r="J116" s="14">
        <v>152</v>
      </c>
      <c r="K116" s="18">
        <v>3514.40898421171</v>
      </c>
      <c r="L116" s="15">
        <v>534190.16560018</v>
      </c>
      <c r="M116" s="14">
        <v>34.5940000000001</v>
      </c>
      <c r="N116" s="15">
        <v>3514.40898421171</v>
      </c>
      <c r="O116" s="15">
        <v>121577.46439982</v>
      </c>
      <c r="P116" s="33" t="s">
        <v>262</v>
      </c>
    </row>
    <row r="117" ht="18" spans="2:16">
      <c r="B117" s="12" t="s">
        <v>60</v>
      </c>
      <c r="C117" s="12" t="s">
        <v>61</v>
      </c>
      <c r="D117" s="14">
        <v>34.5940000000001</v>
      </c>
      <c r="E117" s="15">
        <v>3514.40885702723</v>
      </c>
      <c r="F117" s="15">
        <v>121577.46</v>
      </c>
      <c r="G117" s="14">
        <v>48.189</v>
      </c>
      <c r="H117" s="15">
        <v>3783.53524663305</v>
      </c>
      <c r="I117" s="15">
        <v>182324.78</v>
      </c>
      <c r="J117" s="14">
        <v>41</v>
      </c>
      <c r="K117" s="18">
        <v>3671.07063044345</v>
      </c>
      <c r="L117" s="15">
        <v>150513.895848181</v>
      </c>
      <c r="M117" s="14">
        <v>41.783</v>
      </c>
      <c r="N117" s="15">
        <v>3671.07063044345</v>
      </c>
      <c r="O117" s="15">
        <v>153388.344151819</v>
      </c>
      <c r="P117" s="33" t="s">
        <v>227</v>
      </c>
    </row>
    <row r="118" ht="18" spans="2:16">
      <c r="B118" s="12" t="s">
        <v>62</v>
      </c>
      <c r="C118" s="12" t="s">
        <v>61</v>
      </c>
      <c r="D118" s="14"/>
      <c r="E118" s="15"/>
      <c r="F118" s="15"/>
      <c r="G118" s="14">
        <v>24.566</v>
      </c>
      <c r="H118" s="15">
        <v>3656.39542457054</v>
      </c>
      <c r="I118" s="15">
        <v>89823.01</v>
      </c>
      <c r="J118" s="14">
        <v>24.566</v>
      </c>
      <c r="K118" s="18">
        <v>3656.39542457054</v>
      </c>
      <c r="L118" s="15">
        <v>89823.01</v>
      </c>
      <c r="M118" s="14">
        <v>0</v>
      </c>
      <c r="N118" s="15" t="e">
        <v>#DIV/0!</v>
      </c>
      <c r="O118" s="15">
        <v>0</v>
      </c>
      <c r="P118" s="33" t="s">
        <v>227</v>
      </c>
    </row>
    <row r="119" ht="18" spans="2:24">
      <c r="B119" s="12" t="s">
        <v>60</v>
      </c>
      <c r="C119" s="12" t="s">
        <v>61</v>
      </c>
      <c r="D119" s="14">
        <v>41.783</v>
      </c>
      <c r="E119" s="15">
        <v>3671.07053107723</v>
      </c>
      <c r="F119" s="15">
        <v>153388.34</v>
      </c>
      <c r="G119" s="14">
        <v>14.102</v>
      </c>
      <c r="H119" s="15">
        <v>3407.16139554673</v>
      </c>
      <c r="I119" s="15">
        <v>48047.79</v>
      </c>
      <c r="J119" s="14">
        <v>49.2</v>
      </c>
      <c r="K119" s="18">
        <v>3604.4757985148</v>
      </c>
      <c r="L119" s="15">
        <v>177340.209286928</v>
      </c>
      <c r="M119" s="14">
        <v>6.68500000000004</v>
      </c>
      <c r="N119" s="15">
        <v>3604.4757985148</v>
      </c>
      <c r="O119" s="15">
        <v>24095.9207130716</v>
      </c>
      <c r="P119" s="33" t="s">
        <v>246</v>
      </c>
      <c r="W119" s="10">
        <f>SUM(W112:W118)-W112</f>
        <v>136648.4</v>
      </c>
      <c r="X119" s="10">
        <f>W119*测算表!G25</f>
        <v>127964.6333147</v>
      </c>
    </row>
    <row r="120" ht="18" spans="2:24">
      <c r="B120" s="12" t="s">
        <v>62</v>
      </c>
      <c r="C120" s="12" t="s">
        <v>61</v>
      </c>
      <c r="D120" s="14"/>
      <c r="E120" s="15"/>
      <c r="F120" s="15"/>
      <c r="G120" s="14">
        <v>16.2</v>
      </c>
      <c r="H120" s="15">
        <v>3751.93950617284</v>
      </c>
      <c r="I120" s="15">
        <v>60781.42</v>
      </c>
      <c r="J120" s="14">
        <v>16.2</v>
      </c>
      <c r="K120" s="18">
        <v>3751.93950617284</v>
      </c>
      <c r="L120" s="15">
        <v>60781.42</v>
      </c>
      <c r="M120" s="14">
        <v>0</v>
      </c>
      <c r="N120" s="15" t="e">
        <v>#DIV/0!</v>
      </c>
      <c r="O120" s="15">
        <v>0</v>
      </c>
      <c r="P120" s="33" t="s">
        <v>246</v>
      </c>
      <c r="W120" s="10"/>
      <c r="X120" s="10">
        <f>W119-X119</f>
        <v>8683.7666853</v>
      </c>
    </row>
    <row r="121" ht="18" spans="2:16">
      <c r="B121" s="12" t="s">
        <v>65</v>
      </c>
      <c r="C121" s="12" t="s">
        <v>61</v>
      </c>
      <c r="D121" s="14"/>
      <c r="E121" s="15"/>
      <c r="F121" s="15"/>
      <c r="G121" s="14">
        <v>68.936</v>
      </c>
      <c r="H121" s="15">
        <v>3210.62188116514</v>
      </c>
      <c r="I121" s="15">
        <v>221327.43</v>
      </c>
      <c r="J121" s="14">
        <v>18.5</v>
      </c>
      <c r="K121" s="18">
        <v>3210.62188116514</v>
      </c>
      <c r="L121" s="15">
        <v>59396.5048015551</v>
      </c>
      <c r="M121" s="14">
        <v>50.436</v>
      </c>
      <c r="N121" s="15">
        <v>3210.62188116514</v>
      </c>
      <c r="O121" s="15">
        <v>161930.925198445</v>
      </c>
      <c r="P121" s="33" t="s">
        <v>248</v>
      </c>
    </row>
    <row r="122" ht="18" spans="2:16">
      <c r="B122" s="12" t="s">
        <v>60</v>
      </c>
      <c r="C122" s="12" t="s">
        <v>61</v>
      </c>
      <c r="D122" s="14">
        <v>166.429</v>
      </c>
      <c r="E122" s="15">
        <v>3822.71695437694</v>
      </c>
      <c r="F122" s="15">
        <v>636210.96</v>
      </c>
      <c r="G122" s="14">
        <v>35.005</v>
      </c>
      <c r="H122" s="15">
        <v>3394.28138837309</v>
      </c>
      <c r="I122" s="15">
        <v>118816.82</v>
      </c>
      <c r="J122" s="14">
        <v>112</v>
      </c>
      <c r="K122" s="18">
        <v>3748.26384820835</v>
      </c>
      <c r="L122" s="15">
        <v>419805.550999335</v>
      </c>
      <c r="M122" s="14">
        <v>89.434</v>
      </c>
      <c r="N122" s="15">
        <v>3748.26384820835</v>
      </c>
      <c r="O122" s="15">
        <v>335222.229000665</v>
      </c>
      <c r="P122" s="33" t="s">
        <v>249</v>
      </c>
    </row>
    <row r="123" ht="18" spans="2:18">
      <c r="B123" s="12" t="s">
        <v>62</v>
      </c>
      <c r="C123" s="12" t="s">
        <v>61</v>
      </c>
      <c r="D123" s="14"/>
      <c r="E123" s="15"/>
      <c r="F123" s="15"/>
      <c r="G123" s="14">
        <v>12.48</v>
      </c>
      <c r="H123" s="15">
        <v>3460.33333333333</v>
      </c>
      <c r="I123" s="15">
        <v>43184.96</v>
      </c>
      <c r="J123" s="14">
        <v>12.48</v>
      </c>
      <c r="K123" s="18">
        <v>3460.33333333333</v>
      </c>
      <c r="L123" s="15">
        <v>43184.96</v>
      </c>
      <c r="M123" s="14">
        <v>0</v>
      </c>
      <c r="N123" s="15" t="e">
        <v>#DIV/0!</v>
      </c>
      <c r="O123" s="15">
        <v>0</v>
      </c>
      <c r="P123" s="33" t="s">
        <v>249</v>
      </c>
      <c r="R123" s="40"/>
    </row>
    <row r="124" ht="18" spans="2:18">
      <c r="B124" s="12" t="s">
        <v>65</v>
      </c>
      <c r="C124" s="12" t="s">
        <v>61</v>
      </c>
      <c r="D124" s="14">
        <v>50.436</v>
      </c>
      <c r="E124" s="15">
        <v>3210.62197636609</v>
      </c>
      <c r="F124" s="15">
        <v>161930.93</v>
      </c>
      <c r="G124" s="14"/>
      <c r="H124" s="15"/>
      <c r="I124" s="15"/>
      <c r="J124" s="14">
        <v>50.436</v>
      </c>
      <c r="K124" s="18">
        <v>3210.62197636609</v>
      </c>
      <c r="L124" s="15">
        <v>161930.93</v>
      </c>
      <c r="M124" s="14">
        <v>0</v>
      </c>
      <c r="N124" s="15" t="e">
        <v>#DIV/0!</v>
      </c>
      <c r="O124" s="15">
        <v>0</v>
      </c>
      <c r="P124" s="33" t="s">
        <v>249</v>
      </c>
      <c r="R124" s="40"/>
    </row>
    <row r="125" ht="18" spans="2:16">
      <c r="B125" s="12" t="s">
        <v>60</v>
      </c>
      <c r="C125" s="12" t="s">
        <v>61</v>
      </c>
      <c r="D125" s="14">
        <v>89.434</v>
      </c>
      <c r="E125" s="15">
        <v>3748.26385938234</v>
      </c>
      <c r="F125" s="15">
        <v>335222.23</v>
      </c>
      <c r="G125" s="14">
        <v>98.505</v>
      </c>
      <c r="H125" s="15">
        <v>3404.65184508401</v>
      </c>
      <c r="I125" s="15">
        <v>335375.23</v>
      </c>
      <c r="J125" s="14">
        <v>152.7</v>
      </c>
      <c r="K125" s="18">
        <v>3568.16552179164</v>
      </c>
      <c r="L125" s="15">
        <v>544858.875177584</v>
      </c>
      <c r="M125" s="14">
        <v>35.239</v>
      </c>
      <c r="N125" s="15">
        <v>3568.16552179164</v>
      </c>
      <c r="O125" s="15">
        <v>125738.584822416</v>
      </c>
      <c r="P125" s="33" t="s">
        <v>251</v>
      </c>
    </row>
    <row r="126" ht="18" spans="2:16">
      <c r="B126" s="12" t="s">
        <v>62</v>
      </c>
      <c r="C126" s="12" t="s">
        <v>61</v>
      </c>
      <c r="D126" s="14"/>
      <c r="E126" s="15"/>
      <c r="F126" s="15"/>
      <c r="G126" s="14">
        <v>14.06</v>
      </c>
      <c r="H126" s="15">
        <v>3540.38975817923</v>
      </c>
      <c r="I126" s="15">
        <v>49777.88</v>
      </c>
      <c r="J126" s="14">
        <v>14.06</v>
      </c>
      <c r="K126" s="18">
        <v>3540.38975817923</v>
      </c>
      <c r="L126" s="15">
        <v>49777.88</v>
      </c>
      <c r="M126" s="14">
        <v>0</v>
      </c>
      <c r="N126" s="15" t="e">
        <v>#DIV/0!</v>
      </c>
      <c r="O126" s="15">
        <v>0</v>
      </c>
      <c r="P126" s="33" t="s">
        <v>251</v>
      </c>
    </row>
    <row r="127" ht="18" spans="2:16">
      <c r="B127" s="12" t="s">
        <v>60</v>
      </c>
      <c r="C127" s="12" t="s">
        <v>61</v>
      </c>
      <c r="D127" s="14">
        <v>35.239</v>
      </c>
      <c r="E127" s="15">
        <v>3568.16538494282</v>
      </c>
      <c r="F127" s="15">
        <v>125738.58</v>
      </c>
      <c r="G127" s="14"/>
      <c r="H127" s="15"/>
      <c r="I127" s="15"/>
      <c r="J127" s="14">
        <v>35.239</v>
      </c>
      <c r="K127" s="18">
        <v>3568.16538494282</v>
      </c>
      <c r="L127" s="15">
        <v>125738.58</v>
      </c>
      <c r="M127" s="14">
        <v>0</v>
      </c>
      <c r="N127" s="15" t="e">
        <v>#DIV/0!</v>
      </c>
      <c r="O127" s="15">
        <v>0</v>
      </c>
      <c r="P127" s="33" t="s">
        <v>253</v>
      </c>
    </row>
    <row r="128" ht="18" spans="2:16">
      <c r="B128" s="12" t="s">
        <v>62</v>
      </c>
      <c r="C128" s="12" t="s">
        <v>61</v>
      </c>
      <c r="D128" s="14"/>
      <c r="E128" s="15"/>
      <c r="F128" s="15"/>
      <c r="G128" s="14">
        <v>24.177</v>
      </c>
      <c r="H128" s="15">
        <v>3637.07780121603</v>
      </c>
      <c r="I128" s="15">
        <v>87933.63</v>
      </c>
      <c r="J128" s="14">
        <v>24.177</v>
      </c>
      <c r="K128" s="18">
        <v>3637.07780121603</v>
      </c>
      <c r="L128" s="15">
        <v>87933.63</v>
      </c>
      <c r="M128" s="14">
        <v>0</v>
      </c>
      <c r="N128" s="15" t="e">
        <v>#DIV/0!</v>
      </c>
      <c r="O128" s="15">
        <v>0</v>
      </c>
      <c r="P128" s="33" t="s">
        <v>253</v>
      </c>
    </row>
    <row r="129" ht="18" spans="2:16">
      <c r="B129" s="12" t="s">
        <v>63</v>
      </c>
      <c r="C129" s="12" t="s">
        <v>61</v>
      </c>
      <c r="D129" s="14"/>
      <c r="E129" s="15"/>
      <c r="F129" s="15"/>
      <c r="G129" s="14">
        <v>100.024</v>
      </c>
      <c r="H129" s="15">
        <v>3184.9879029033</v>
      </c>
      <c r="I129" s="15">
        <v>318575.23</v>
      </c>
      <c r="J129" s="14">
        <v>72.5</v>
      </c>
      <c r="K129" s="18">
        <v>3184.9879029033</v>
      </c>
      <c r="L129" s="15">
        <v>230911.622960489</v>
      </c>
      <c r="M129" s="14">
        <v>27.524</v>
      </c>
      <c r="N129" s="15">
        <v>3184.9879029033</v>
      </c>
      <c r="O129" s="15">
        <v>87663.6070395105</v>
      </c>
      <c r="P129" s="33" t="s">
        <v>253</v>
      </c>
    </row>
    <row r="130" spans="2:16">
      <c r="B130" s="12"/>
      <c r="C130" s="12"/>
      <c r="D130" s="14"/>
      <c r="E130" s="15"/>
      <c r="F130" s="15"/>
      <c r="G130" s="14"/>
      <c r="H130" s="15"/>
      <c r="I130" s="15"/>
      <c r="J130" s="14"/>
      <c r="K130" s="18"/>
      <c r="L130" s="15"/>
      <c r="M130" s="14"/>
      <c r="N130" s="15"/>
      <c r="O130" s="15"/>
      <c r="P130" s="33"/>
    </row>
    <row r="131" spans="2:16">
      <c r="B131" s="12"/>
      <c r="C131" s="12"/>
      <c r="D131" s="14"/>
      <c r="E131" s="15"/>
      <c r="F131" s="15"/>
      <c r="G131" s="14"/>
      <c r="H131" s="15"/>
      <c r="I131" s="15"/>
      <c r="J131" s="14"/>
      <c r="K131" s="18"/>
      <c r="L131" s="15"/>
      <c r="M131" s="14"/>
      <c r="N131" s="15"/>
      <c r="O131" s="15"/>
      <c r="P131" s="33"/>
    </row>
    <row r="132" spans="2:16">
      <c r="B132" s="12"/>
      <c r="C132" s="12"/>
      <c r="D132" s="14"/>
      <c r="E132" s="15"/>
      <c r="F132" s="15"/>
      <c r="G132" s="14"/>
      <c r="H132" s="15"/>
      <c r="I132" s="15"/>
      <c r="J132" s="14"/>
      <c r="K132" s="18"/>
      <c r="L132" s="15"/>
      <c r="M132" s="14"/>
      <c r="N132" s="15"/>
      <c r="O132" s="15"/>
      <c r="P132" s="33"/>
    </row>
    <row r="133" spans="2:16">
      <c r="B133" s="12"/>
      <c r="C133" s="12"/>
      <c r="D133" s="14"/>
      <c r="E133" s="15"/>
      <c r="F133" s="15"/>
      <c r="G133" s="14"/>
      <c r="H133" s="15"/>
      <c r="I133" s="15"/>
      <c r="J133" s="14"/>
      <c r="K133" s="18"/>
      <c r="L133" s="15"/>
      <c r="M133" s="14"/>
      <c r="N133" s="15"/>
      <c r="O133" s="15"/>
      <c r="P133" s="33"/>
    </row>
    <row r="134" spans="2:16">
      <c r="B134" s="12"/>
      <c r="C134" s="12"/>
      <c r="D134" s="14"/>
      <c r="E134" s="15"/>
      <c r="F134" s="15"/>
      <c r="G134" s="14"/>
      <c r="H134" s="15"/>
      <c r="I134" s="15"/>
      <c r="J134" s="14"/>
      <c r="K134" s="18"/>
      <c r="L134" s="15"/>
      <c r="M134" s="14"/>
      <c r="N134" s="15"/>
      <c r="O134" s="15"/>
      <c r="P134" s="33"/>
    </row>
    <row r="136" spans="8:16">
      <c r="H136" s="16"/>
      <c r="I136" s="16"/>
      <c r="J136" s="19">
        <f>SUM(J114:J134)</f>
        <v>855.398</v>
      </c>
      <c r="K136" s="20">
        <f>L136/J136</f>
        <v>3536.96710261932</v>
      </c>
      <c r="L136" s="16">
        <f>SUM(L114:L134)</f>
        <v>3025514.58564636</v>
      </c>
      <c r="M136" s="16"/>
      <c r="N136" s="16"/>
      <c r="O136" s="16"/>
      <c r="P136" s="10"/>
    </row>
    <row r="137" spans="7:16">
      <c r="G137" s="39">
        <f>K136*1.13</f>
        <v>3996.77282595983</v>
      </c>
      <c r="H137" s="16"/>
      <c r="I137" s="16"/>
      <c r="J137" s="19">
        <f>J136*0.165</f>
        <v>141.14067</v>
      </c>
      <c r="K137" s="10">
        <f>V112*1.13</f>
        <v>2418.17700337587</v>
      </c>
      <c r="L137" s="10">
        <f>J137*K137</f>
        <v>341303.122435063</v>
      </c>
      <c r="M137" s="16"/>
      <c r="P137" s="10"/>
    </row>
    <row r="138" spans="8:16">
      <c r="H138" s="16"/>
      <c r="I138" s="21"/>
      <c r="J138" s="16"/>
      <c r="K138" s="10"/>
      <c r="L138" s="10"/>
      <c r="M138" s="16"/>
      <c r="N138" s="10"/>
      <c r="O138" s="10"/>
      <c r="P138" s="10"/>
    </row>
    <row r="139" spans="7:12">
      <c r="G139" s="43">
        <f>K140/G137</f>
        <v>0.605032381311143</v>
      </c>
      <c r="I139" s="31" t="s">
        <v>242</v>
      </c>
      <c r="J139" s="32">
        <f>J105+J137-SUM(U112:U118)</f>
        <v>50.03795</v>
      </c>
      <c r="K139" s="10">
        <f>L139/J139</f>
        <v>2488.96639070671</v>
      </c>
      <c r="L139" s="10">
        <f>L105+L137-SUM(Y112:Y118)</f>
        <v>124542.775809863</v>
      </c>
    </row>
    <row r="140" spans="11:12">
      <c r="K140" s="39">
        <f>V114*1.13</f>
        <v>2418.17698045014</v>
      </c>
      <c r="L140" s="39">
        <f>J139*K140</f>
        <v>121000.618838915</v>
      </c>
    </row>
    <row r="142" spans="9:14">
      <c r="I142" s="41"/>
      <c r="J142" s="42"/>
      <c r="K142" s="39"/>
      <c r="L142" s="39"/>
      <c r="M142" s="8"/>
      <c r="N142" s="39"/>
    </row>
    <row r="143" spans="9:14">
      <c r="I143" s="41"/>
      <c r="J143" s="42"/>
      <c r="K143" s="39"/>
      <c r="L143" s="39"/>
      <c r="M143" s="8"/>
      <c r="N143" s="39"/>
    </row>
    <row r="144" spans="10:14">
      <c r="J144" s="42"/>
      <c r="L144" s="39"/>
      <c r="M144" s="39"/>
      <c r="N144" s="39"/>
    </row>
    <row r="147" spans="14:14">
      <c r="N147" s="8"/>
    </row>
  </sheetData>
  <mergeCells count="35">
    <mergeCell ref="D2:F2"/>
    <mergeCell ref="G2:I2"/>
    <mergeCell ref="J2:L2"/>
    <mergeCell ref="M2:O2"/>
    <mergeCell ref="D48:F48"/>
    <mergeCell ref="G48:I48"/>
    <mergeCell ref="J48:L48"/>
    <mergeCell ref="M48:O48"/>
    <mergeCell ref="D72:F72"/>
    <mergeCell ref="G72:I72"/>
    <mergeCell ref="J72:L72"/>
    <mergeCell ref="M72:O72"/>
    <mergeCell ref="D91:F91"/>
    <mergeCell ref="G91:I91"/>
    <mergeCell ref="J91:L91"/>
    <mergeCell ref="M91:O91"/>
    <mergeCell ref="D112:F112"/>
    <mergeCell ref="G112:I112"/>
    <mergeCell ref="J112:L112"/>
    <mergeCell ref="M112:O112"/>
    <mergeCell ref="B2:B3"/>
    <mergeCell ref="B48:B49"/>
    <mergeCell ref="B72:B73"/>
    <mergeCell ref="B91:B92"/>
    <mergeCell ref="B112:B113"/>
    <mergeCell ref="C2:C3"/>
    <mergeCell ref="C48:C49"/>
    <mergeCell ref="C72:C73"/>
    <mergeCell ref="C91:C92"/>
    <mergeCell ref="C112:C113"/>
    <mergeCell ref="P2:P3"/>
    <mergeCell ref="P48:P49"/>
    <mergeCell ref="P72:P73"/>
    <mergeCell ref="P91:P92"/>
    <mergeCell ref="P112:P113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16"/>
  <sheetViews>
    <sheetView workbookViewId="0">
      <selection activeCell="E40" sqref="E40"/>
    </sheetView>
  </sheetViews>
  <sheetFormatPr defaultColWidth="9" defaultRowHeight="17.6" outlineLevelCol="7"/>
  <cols>
    <col min="1" max="1" width="20.0982142857143" customWidth="1"/>
    <col min="2" max="2" width="14.5982142857143" hidden="1" customWidth="1"/>
    <col min="3" max="3" width="6" hidden="1" customWidth="1"/>
    <col min="4" max="4" width="16.4017857142857" hidden="1" customWidth="1"/>
    <col min="5" max="5" width="45.6964285714286" customWidth="1"/>
    <col min="6" max="6" width="10.5" customWidth="1"/>
  </cols>
  <sheetData>
    <row r="1" ht="73.5" customHeight="1" spans="1:7">
      <c r="A1" s="1" t="s">
        <v>145</v>
      </c>
      <c r="B1" s="1"/>
      <c r="C1" s="1"/>
      <c r="D1" s="1"/>
      <c r="E1" s="1"/>
      <c r="F1" s="9"/>
      <c r="G1" s="9"/>
    </row>
    <row r="2" ht="69.75" customHeight="1" spans="1:7">
      <c r="A2" s="2" t="s">
        <v>263</v>
      </c>
      <c r="B2" s="2"/>
      <c r="C2" s="2"/>
      <c r="D2" s="2"/>
      <c r="E2" s="2"/>
      <c r="F2" s="9"/>
      <c r="G2" s="9"/>
    </row>
    <row r="3" ht="36.75" customHeight="1" spans="1:5">
      <c r="A3" s="3" t="s">
        <v>264</v>
      </c>
      <c r="B3" s="3" t="s">
        <v>8</v>
      </c>
      <c r="C3" s="3" t="s">
        <v>42</v>
      </c>
      <c r="D3" s="3" t="s">
        <v>265</v>
      </c>
      <c r="E3" s="3" t="s">
        <v>266</v>
      </c>
    </row>
    <row r="4" ht="40.5" customHeight="1" spans="1:8">
      <c r="A4" s="4" t="s">
        <v>267</v>
      </c>
      <c r="B4" s="5"/>
      <c r="C4" s="6" t="s">
        <v>61</v>
      </c>
      <c r="D4" s="7">
        <v>323</v>
      </c>
      <c r="E4" s="7"/>
      <c r="H4" s="10"/>
    </row>
    <row r="5" ht="35.25" customHeight="1" spans="1:5">
      <c r="A5" s="4" t="s">
        <v>268</v>
      </c>
      <c r="B5" s="5"/>
      <c r="C5" s="6" t="s">
        <v>61</v>
      </c>
      <c r="D5" s="7">
        <v>645</v>
      </c>
      <c r="E5" s="7">
        <f>E12*0.45149*0.954</f>
        <v>0</v>
      </c>
    </row>
    <row r="6" ht="33" customHeight="1" spans="1:6">
      <c r="A6" s="3" t="s">
        <v>269</v>
      </c>
      <c r="B6" s="5">
        <f>B4</f>
        <v>0</v>
      </c>
      <c r="C6" s="6"/>
      <c r="D6" s="7">
        <v>968</v>
      </c>
      <c r="E6" s="7">
        <f>E4+E5</f>
        <v>0</v>
      </c>
      <c r="F6" s="8"/>
    </row>
    <row r="9" spans="2:3">
      <c r="B9" s="8"/>
      <c r="C9" s="8"/>
    </row>
    <row r="10" spans="5:5">
      <c r="E10" s="8"/>
    </row>
    <row r="12" spans="1:5">
      <c r="A12" t="s">
        <v>270</v>
      </c>
      <c r="E12">
        <f>E11/1.17</f>
        <v>0</v>
      </c>
    </row>
    <row r="14" spans="1:5">
      <c r="A14" t="s">
        <v>271</v>
      </c>
      <c r="E14" s="10">
        <f>E12-E6</f>
        <v>0</v>
      </c>
    </row>
    <row r="16" spans="1:5">
      <c r="A16" t="s">
        <v>272</v>
      </c>
      <c r="E16" t="e">
        <f>E14/E12</f>
        <v>#DIV/0!</v>
      </c>
    </row>
  </sheetData>
  <mergeCells count="2">
    <mergeCell ref="A1:E1"/>
    <mergeCell ref="A2:E2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WPS_1712969112</cp:lastModifiedBy>
  <dcterms:created xsi:type="dcterms:W3CDTF">2011-06-04T09:29:00Z</dcterms:created>
  <cp:lastPrinted>2025-12-09T22:31:00Z</cp:lastPrinted>
  <dcterms:modified xsi:type="dcterms:W3CDTF">2026-01-25T21:48:35Z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D3B2B73BC7E31799331F76699E8E82D6_42</vt:lpwstr>
  </property>
  <property fmtid="{D5CDD505-2E9C-101B-9397-08002B2CF9AE}" pid="3" name="KSOProductBuildVer">
    <vt:lpwstr>2052-7.2.2.8955</vt:lpwstr>
  </property>
</Properties>
</file>