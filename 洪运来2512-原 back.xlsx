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JX\Desktop\"/>
    </mc:Choice>
  </mc:AlternateContent>
  <xr:revisionPtr revIDLastSave="0" documentId="13_ncr:1_{B2DDFE2B-8496-4E43-A2EF-A51A807E9B09}" xr6:coauthVersionLast="47" xr6:coauthVersionMax="47" xr10:uidLastSave="{00000000-0000-0000-0000-000000000000}"/>
  <bookViews>
    <workbookView xWindow="-108" yWindow="-108" windowWidth="30936" windowHeight="16896" xr2:uid="{2F3CED25-1837-448A-BEBB-6C1770908A7F}"/>
  </bookViews>
  <sheets>
    <sheet name="销售成本" sheetId="6" r:id="rId1"/>
    <sheet name="产品成本" sheetId="7" r:id="rId2"/>
    <sheet name="材料" sheetId="3" r:id="rId3"/>
    <sheet name="测算表" sheetId="1" r:id="rId4"/>
    <sheet name="工资" sheetId="2" r:id="rId5"/>
    <sheet name="生产成本月结表" sheetId="4" r:id="rId6"/>
    <sheet name="付工资" sheetId="8" r:id="rId7"/>
    <sheet name="电费" sheetId="9" r:id="rId8"/>
    <sheet name="废料" sheetId="10" r:id="rId9"/>
    <sheet name="加工成本" sheetId="5" r:id="rId10"/>
  </sheets>
  <definedNames>
    <definedName name="_xlnm._FilterDatabase" localSheetId="6" hidden="1">付工资!$M$6:$N$6</definedName>
    <definedName name="_xlnm.Print_Area" localSheetId="2">材料!$A$1:$O$16</definedName>
    <definedName name="_xlnm.Print_Area" localSheetId="3">测算表!$A$1:$I$42</definedName>
    <definedName name="_xlnm.Print_Area" localSheetId="1">产品成本!$A$1:$I$19</definedName>
    <definedName name="_xlnm.Print_Area" localSheetId="6">付工资!$A$1:$F$29</definedName>
    <definedName name="_xlnm.Print_Area" localSheetId="4">工资!$A$1:$B$7</definedName>
    <definedName name="_xlnm.Print_Area" localSheetId="9">加工成本!$A$1:$E$7</definedName>
    <definedName name="_xlnm.Print_Area" localSheetId="5">生产成本月结表!$A$1:$F$9</definedName>
    <definedName name="_xlnm.Print_Area" localSheetId="0">销售成本!$A$1:$L$12</definedName>
  </definedNames>
  <calcPr calcId="181029"/>
</workbook>
</file>

<file path=xl/calcChain.xml><?xml version="1.0" encoding="utf-8"?>
<calcChain xmlns="http://schemas.openxmlformats.org/spreadsheetml/2006/main">
  <c r="E14" i="4" l="1"/>
  <c r="I7" i="3"/>
  <c r="B42" i="1" l="1"/>
  <c r="B37" i="1"/>
  <c r="B45" i="1"/>
  <c r="E20" i="1"/>
  <c r="L14" i="3"/>
  <c r="H14" i="3"/>
  <c r="G14" i="3" s="1"/>
  <c r="K144" i="10"/>
  <c r="K141" i="10"/>
  <c r="L140" i="10"/>
  <c r="J140" i="10"/>
  <c r="J141" i="10" s="1"/>
  <c r="O9" i="7"/>
  <c r="F18" i="7"/>
  <c r="C18" i="7"/>
  <c r="F3" i="7"/>
  <c r="C3" i="7"/>
  <c r="K8" i="6"/>
  <c r="H8" i="6"/>
  <c r="F8" i="6"/>
  <c r="G8" i="6" s="1"/>
  <c r="F16" i="7" s="1"/>
  <c r="F19" i="7" s="1"/>
  <c r="H7" i="6"/>
  <c r="F7" i="6"/>
  <c r="K7" i="6" s="1"/>
  <c r="L141" i="10" l="1"/>
  <c r="L143" i="10" s="1"/>
  <c r="K143" i="10" s="1"/>
  <c r="J143" i="10"/>
  <c r="L144" i="10" s="1"/>
  <c r="N14" i="3"/>
  <c r="M14" i="3" s="1"/>
  <c r="I8" i="6"/>
  <c r="J8" i="6" s="1"/>
  <c r="L8" i="6" s="1"/>
  <c r="G7" i="6"/>
  <c r="E16" i="7" s="1"/>
  <c r="E19" i="7" s="1"/>
  <c r="I7" i="6" l="1"/>
  <c r="J7" i="6" s="1"/>
  <c r="L7" i="6" s="1"/>
  <c r="G11" i="3" l="1"/>
  <c r="G9" i="3"/>
  <c r="H8" i="3"/>
  <c r="F8" i="3"/>
  <c r="H5" i="3"/>
  <c r="F5" i="3"/>
  <c r="H6" i="3"/>
  <c r="F6" i="3"/>
  <c r="D11" i="3"/>
  <c r="D9" i="3"/>
  <c r="D8" i="3"/>
  <c r="D7" i="3"/>
  <c r="B18" i="1"/>
  <c r="B20" i="1"/>
  <c r="E13" i="1"/>
  <c r="B21" i="1"/>
  <c r="B39" i="1"/>
  <c r="B10" i="1"/>
  <c r="E29" i="1"/>
  <c r="C20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F16" i="3" l="1"/>
  <c r="H16" i="3"/>
  <c r="J6" i="3"/>
  <c r="K6" i="3" s="1"/>
  <c r="G8" i="3"/>
  <c r="G6" i="3"/>
  <c r="G5" i="3"/>
  <c r="J7" i="3"/>
  <c r="K7" i="3" l="1"/>
  <c r="L7" i="3" l="1"/>
  <c r="N7" i="3"/>
  <c r="L6" i="3"/>
  <c r="N6" i="3"/>
  <c r="E23" i="1"/>
  <c r="J5" i="3"/>
  <c r="M7" i="3" l="1"/>
  <c r="M6" i="3"/>
  <c r="K5" i="3"/>
  <c r="W119" i="10" l="1"/>
  <c r="X119" i="10" l="1"/>
  <c r="K7" i="1" s="1"/>
  <c r="G13" i="1"/>
  <c r="E15" i="4" s="1"/>
  <c r="F5" i="6"/>
  <c r="L5" i="3" l="1"/>
  <c r="L16" i="3" s="1"/>
  <c r="N5" i="3" l="1"/>
  <c r="N16" i="3" s="1"/>
  <c r="E12" i="6"/>
  <c r="B2" i="1" s="1"/>
  <c r="D12" i="6"/>
  <c r="C12" i="6"/>
  <c r="B12" i="6"/>
  <c r="E3" i="7"/>
  <c r="D3" i="7"/>
  <c r="H5" i="6"/>
  <c r="M5" i="3" l="1"/>
  <c r="B14" i="4"/>
  <c r="B16" i="4" s="1"/>
  <c r="E1" i="1"/>
  <c r="K5" i="6"/>
  <c r="E18" i="7" l="1"/>
  <c r="H9" i="1" l="1"/>
  <c r="Y112" i="10"/>
  <c r="V91" i="10"/>
  <c r="W94" i="10" l="1"/>
  <c r="X94" i="10" s="1"/>
  <c r="K140" i="10" l="1"/>
  <c r="G141" i="10" s="1"/>
  <c r="G143" i="10" s="1"/>
  <c r="V112" i="10"/>
  <c r="K106" i="10"/>
  <c r="B11" i="1"/>
  <c r="V5" i="6"/>
  <c r="G5" i="6" s="1"/>
  <c r="C16" i="7" s="1"/>
  <c r="W78" i="10"/>
  <c r="P11" i="7"/>
  <c r="I5" i="6" l="1"/>
  <c r="J5" i="6" s="1"/>
  <c r="X120" i="10"/>
  <c r="X95" i="10"/>
  <c r="L5" i="6" l="1"/>
  <c r="J102" i="10"/>
  <c r="J103" i="10" s="1"/>
  <c r="L103" i="10" s="1"/>
  <c r="J14" i="6" l="1"/>
  <c r="D53" i="9"/>
  <c r="G53" i="9"/>
  <c r="I53" i="9"/>
  <c r="D54" i="9"/>
  <c r="G54" i="9"/>
  <c r="I54" i="9"/>
  <c r="D55" i="9"/>
  <c r="G55" i="9"/>
  <c r="I55" i="9"/>
  <c r="D56" i="9"/>
  <c r="G56" i="9"/>
  <c r="I56" i="9"/>
  <c r="D57" i="9"/>
  <c r="G57" i="9"/>
  <c r="I57" i="9"/>
  <c r="D58" i="9"/>
  <c r="G58" i="9"/>
  <c r="I58" i="9"/>
  <c r="D59" i="9"/>
  <c r="G59" i="9"/>
  <c r="I59" i="9"/>
  <c r="D60" i="9"/>
  <c r="G60" i="9"/>
  <c r="I60" i="9"/>
  <c r="D61" i="9"/>
  <c r="G61" i="9"/>
  <c r="I61" i="9"/>
  <c r="D62" i="9"/>
  <c r="G62" i="9"/>
  <c r="I62" i="9"/>
  <c r="D63" i="9"/>
  <c r="G63" i="9"/>
  <c r="I63" i="9"/>
  <c r="D64" i="9"/>
  <c r="G64" i="9"/>
  <c r="I64" i="9"/>
  <c r="C65" i="9"/>
  <c r="K65" i="9" s="1"/>
  <c r="E65" i="9"/>
  <c r="F65" i="9"/>
  <c r="L102" i="10"/>
  <c r="K102" i="10" s="1"/>
  <c r="G103" i="10" s="1"/>
  <c r="G105" i="10" s="1"/>
  <c r="X78" i="10"/>
  <c r="L80" i="10"/>
  <c r="J80" i="10"/>
  <c r="J81" i="10" s="1"/>
  <c r="X74" i="10"/>
  <c r="Y74" i="10"/>
  <c r="V76" i="10" s="1"/>
  <c r="V74" i="10"/>
  <c r="V73" i="10"/>
  <c r="V72" i="10"/>
  <c r="K49" i="9"/>
  <c r="I48" i="9"/>
  <c r="K80" i="10" l="1"/>
  <c r="G81" i="10" s="1"/>
  <c r="G83" i="10" s="1"/>
  <c r="I20" i="3"/>
  <c r="G65" i="9"/>
  <c r="D65" i="9"/>
  <c r="I65" i="9"/>
  <c r="X79" i="10"/>
  <c r="L81" i="10"/>
  <c r="N81" i="10" s="1"/>
  <c r="O81" i="10" s="1"/>
  <c r="O82" i="10" l="1"/>
  <c r="I47" i="9" l="1"/>
  <c r="V56" i="10"/>
  <c r="V55" i="10" l="1"/>
  <c r="I16" i="3" l="1"/>
  <c r="I46" i="9"/>
  <c r="E16" i="3"/>
  <c r="C16" i="3"/>
  <c r="I45" i="9" l="1"/>
  <c r="J64" i="10"/>
  <c r="J65" i="10" s="1"/>
  <c r="L65" i="10" s="1"/>
  <c r="I49" i="9"/>
  <c r="L83" i="10" l="1"/>
  <c r="N65" i="10"/>
  <c r="F4" i="1"/>
  <c r="D3" i="1" s="1"/>
  <c r="B15" i="4" l="1"/>
  <c r="B15" i="1"/>
  <c r="B14" i="1"/>
  <c r="B16" i="1"/>
  <c r="O65" i="10"/>
  <c r="W56" i="10" s="1"/>
  <c r="L64" i="10"/>
  <c r="I44" i="9" l="1"/>
  <c r="I43" i="9" l="1"/>
  <c r="E17" i="6"/>
  <c r="J9" i="3" l="1"/>
  <c r="L9" i="3"/>
  <c r="J8" i="3"/>
  <c r="L8" i="3"/>
  <c r="O66" i="10" l="1"/>
  <c r="K9" i="3"/>
  <c r="N9" i="3" s="1"/>
  <c r="M9" i="3" s="1"/>
  <c r="K8" i="3"/>
  <c r="N8" i="3" l="1"/>
  <c r="I42" i="9"/>
  <c r="K25" i="10"/>
  <c r="J27" i="10"/>
  <c r="V49" i="10"/>
  <c r="V48" i="10"/>
  <c r="M8" i="3" l="1"/>
  <c r="K64" i="10"/>
  <c r="G63" i="10" s="1"/>
  <c r="I41" i="9"/>
  <c r="N36" i="10"/>
  <c r="O36" i="10" s="1"/>
  <c r="L12" i="10"/>
  <c r="J12" i="10"/>
  <c r="K12" i="10" s="1"/>
  <c r="N35" i="10"/>
  <c r="O35" i="10" s="1"/>
  <c r="N34" i="10"/>
  <c r="O34" i="10" s="1"/>
  <c r="L33" i="10"/>
  <c r="N33" i="10" s="1"/>
  <c r="O33" i="10" s="1"/>
  <c r="N32" i="10"/>
  <c r="O32" i="10" s="1"/>
  <c r="K32" i="10"/>
  <c r="N30" i="10"/>
  <c r="K30" i="10"/>
  <c r="O27" i="10"/>
  <c r="L27" i="10"/>
  <c r="N27" i="10" s="1"/>
  <c r="K27" i="10"/>
  <c r="L28" i="10" s="1"/>
  <c r="K24" i="10"/>
  <c r="K22" i="10"/>
  <c r="O12" i="10"/>
  <c r="J31" i="10"/>
  <c r="J39" i="10" s="1"/>
  <c r="J42" i="10" s="1"/>
  <c r="H19" i="3"/>
  <c r="F19" i="3"/>
  <c r="I37" i="9"/>
  <c r="I40" i="9"/>
  <c r="C8" i="4"/>
  <c r="D8" i="4"/>
  <c r="I39" i="9"/>
  <c r="I38" i="9"/>
  <c r="N7" i="6"/>
  <c r="N6" i="6"/>
  <c r="N5" i="6"/>
  <c r="S9" i="6"/>
  <c r="J32" i="9"/>
  <c r="J31" i="9"/>
  <c r="F49" i="9"/>
  <c r="E49" i="9"/>
  <c r="C49" i="9"/>
  <c r="G48" i="9"/>
  <c r="D48" i="9"/>
  <c r="G47" i="9"/>
  <c r="D47" i="9"/>
  <c r="G46" i="9"/>
  <c r="D46" i="9"/>
  <c r="G45" i="9"/>
  <c r="D45" i="9"/>
  <c r="G44" i="9"/>
  <c r="D44" i="9"/>
  <c r="G43" i="9"/>
  <c r="D43" i="9"/>
  <c r="G42" i="9"/>
  <c r="D42" i="9"/>
  <c r="G41" i="9"/>
  <c r="D41" i="9"/>
  <c r="G40" i="9"/>
  <c r="D40" i="9"/>
  <c r="G39" i="9"/>
  <c r="D39" i="9"/>
  <c r="G38" i="9"/>
  <c r="D38" i="9"/>
  <c r="G37" i="9"/>
  <c r="D37" i="9"/>
  <c r="C29" i="8"/>
  <c r="C31" i="8" s="1"/>
  <c r="F6" i="6"/>
  <c r="B25" i="1"/>
  <c r="J2" i="1"/>
  <c r="K2" i="1"/>
  <c r="T9" i="6"/>
  <c r="B8" i="1"/>
  <c r="B5" i="2"/>
  <c r="C5" i="4"/>
  <c r="S5" i="3"/>
  <c r="O16" i="3" s="1"/>
  <c r="D14" i="4" s="1"/>
  <c r="D15" i="4" s="1"/>
  <c r="Q5" i="3"/>
  <c r="J8" i="1"/>
  <c r="I9" i="1"/>
  <c r="E36" i="1"/>
  <c r="D25" i="9"/>
  <c r="C33" i="9"/>
  <c r="D24" i="9"/>
  <c r="D29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B9" i="4"/>
  <c r="E37" i="1"/>
  <c r="F33" i="9"/>
  <c r="E33" i="9"/>
  <c r="G32" i="9"/>
  <c r="G33" i="9"/>
  <c r="D32" i="9"/>
  <c r="G31" i="9"/>
  <c r="D31" i="9"/>
  <c r="G30" i="9"/>
  <c r="D30" i="9"/>
  <c r="G29" i="9"/>
  <c r="D29" i="9"/>
  <c r="G28" i="9"/>
  <c r="D28" i="9"/>
  <c r="G27" i="9"/>
  <c r="D27" i="9"/>
  <c r="G26" i="9"/>
  <c r="D26" i="9"/>
  <c r="G25" i="9"/>
  <c r="G24" i="9"/>
  <c r="G23" i="9"/>
  <c r="D23" i="9"/>
  <c r="G22" i="9"/>
  <c r="D22" i="9"/>
  <c r="G21" i="9"/>
  <c r="D21" i="9"/>
  <c r="F17" i="9"/>
  <c r="E17" i="9"/>
  <c r="C17" i="9"/>
  <c r="D17" i="9"/>
  <c r="G16" i="9"/>
  <c r="D16" i="9"/>
  <c r="G15" i="9"/>
  <c r="D15" i="9"/>
  <c r="G14" i="9"/>
  <c r="D14" i="9"/>
  <c r="G13" i="9"/>
  <c r="D13" i="9"/>
  <c r="G12" i="9"/>
  <c r="D12" i="9"/>
  <c r="G11" i="9"/>
  <c r="D11" i="9"/>
  <c r="G10" i="9"/>
  <c r="D10" i="9"/>
  <c r="G9" i="9"/>
  <c r="D9" i="9"/>
  <c r="G8" i="9"/>
  <c r="D8" i="9"/>
  <c r="G7" i="9"/>
  <c r="D7" i="9"/>
  <c r="G6" i="9"/>
  <c r="D6" i="9"/>
  <c r="G5" i="9"/>
  <c r="G17" i="9"/>
  <c r="D5" i="9"/>
  <c r="H6" i="6"/>
  <c r="H12" i="6" s="1"/>
  <c r="J7" i="1"/>
  <c r="D10" i="1"/>
  <c r="E21" i="1"/>
  <c r="E22" i="1" s="1"/>
  <c r="B10" i="7"/>
  <c r="D7" i="4" s="1"/>
  <c r="C7" i="4"/>
  <c r="B6" i="5"/>
  <c r="E12" i="5"/>
  <c r="B6" i="2"/>
  <c r="E5" i="5"/>
  <c r="E6" i="5"/>
  <c r="E14" i="5"/>
  <c r="E16" i="5"/>
  <c r="C6" i="4"/>
  <c r="D33" i="9"/>
  <c r="J11" i="3"/>
  <c r="F22" i="1" l="1"/>
  <c r="G22" i="1"/>
  <c r="C15" i="4"/>
  <c r="D18" i="7"/>
  <c r="F12" i="6"/>
  <c r="B18" i="7" s="1"/>
  <c r="J67" i="10"/>
  <c r="J83" i="10" s="1"/>
  <c r="J105" i="10" s="1"/>
  <c r="G64" i="10"/>
  <c r="G66" i="10"/>
  <c r="O28" i="10"/>
  <c r="U9" i="6"/>
  <c r="E29" i="8"/>
  <c r="D49" i="9"/>
  <c r="G6" i="6"/>
  <c r="D16" i="7" s="1"/>
  <c r="D19" i="7" s="1"/>
  <c r="G49" i="9"/>
  <c r="B7" i="2"/>
  <c r="V9" i="6"/>
  <c r="J9" i="1"/>
  <c r="B11" i="2"/>
  <c r="K6" i="6"/>
  <c r="K12" i="6" s="1"/>
  <c r="R5" i="3"/>
  <c r="K11" i="3"/>
  <c r="L11" i="3"/>
  <c r="K33" i="10"/>
  <c r="L31" i="10"/>
  <c r="J13" i="10"/>
  <c r="L13" i="10" s="1"/>
  <c r="G12" i="6" l="1"/>
  <c r="B16" i="7" s="1"/>
  <c r="L106" i="10"/>
  <c r="C19" i="7"/>
  <c r="K83" i="10"/>
  <c r="L84" i="10"/>
  <c r="L105" i="10" s="1"/>
  <c r="N11" i="3"/>
  <c r="K20" i="3"/>
  <c r="J20" i="3" s="1"/>
  <c r="K18" i="7"/>
  <c r="K16" i="3"/>
  <c r="C4" i="4" s="1"/>
  <c r="I6" i="6"/>
  <c r="J6" i="6" s="1"/>
  <c r="J12" i="6" s="1"/>
  <c r="B3" i="1" s="1"/>
  <c r="B13" i="1"/>
  <c r="E25" i="1"/>
  <c r="B17" i="4"/>
  <c r="E28" i="1"/>
  <c r="E17" i="1" s="1"/>
  <c r="J17" i="3"/>
  <c r="M11" i="3"/>
  <c r="N31" i="10"/>
  <c r="K31" i="10"/>
  <c r="L39" i="10"/>
  <c r="L42" i="10" s="1"/>
  <c r="L67" i="10" s="1"/>
  <c r="K67" i="10" s="1"/>
  <c r="L40" i="10"/>
  <c r="B9" i="7" l="1"/>
  <c r="B8" i="7" s="1"/>
  <c r="K24" i="3"/>
  <c r="B7" i="7"/>
  <c r="C7" i="7" s="1"/>
  <c r="D7" i="7" s="1"/>
  <c r="E7" i="7" s="1"/>
  <c r="F7" i="7" s="1"/>
  <c r="D28" i="7"/>
  <c r="K105" i="10"/>
  <c r="K26" i="3"/>
  <c r="K16" i="7"/>
  <c r="L6" i="6"/>
  <c r="L12" i="6" s="1"/>
  <c r="K28" i="3"/>
  <c r="K25" i="3"/>
  <c r="K27" i="3"/>
  <c r="N20" i="3"/>
  <c r="C11" i="7"/>
  <c r="D11" i="7" s="1"/>
  <c r="E11" i="7" s="1"/>
  <c r="F11" i="7" s="1"/>
  <c r="V10" i="3"/>
  <c r="U10" i="3" s="1"/>
  <c r="C10" i="7"/>
  <c r="D10" i="7" s="1"/>
  <c r="E10" i="7" s="1"/>
  <c r="F10" i="7" s="1"/>
  <c r="V9" i="3"/>
  <c r="U9" i="3" s="1"/>
  <c r="V11" i="3"/>
  <c r="U11" i="3" s="1"/>
  <c r="B28" i="7"/>
  <c r="K42" i="10"/>
  <c r="C9" i="4"/>
  <c r="N39" i="10"/>
  <c r="O31" i="10"/>
  <c r="O39" i="10" s="1"/>
  <c r="B5" i="7" l="1"/>
  <c r="C9" i="7"/>
  <c r="D9" i="7" s="1"/>
  <c r="D6" i="4"/>
  <c r="E6" i="4" s="1"/>
  <c r="B27" i="7"/>
  <c r="G6" i="4" s="1"/>
  <c r="B26" i="7"/>
  <c r="G5" i="4" s="1"/>
  <c r="D5" i="4"/>
  <c r="E5" i="4" s="1"/>
  <c r="B23" i="1"/>
  <c r="B47" i="1" s="1"/>
  <c r="K7" i="7"/>
  <c r="K10" i="7"/>
  <c r="O40" i="10"/>
  <c r="L11" i="7" l="1"/>
  <c r="D4" i="4"/>
  <c r="E4" i="4" s="1"/>
  <c r="E9" i="7"/>
  <c r="D8" i="7"/>
  <c r="E30" i="1"/>
  <c r="E31" i="1" s="1"/>
  <c r="B25" i="7"/>
  <c r="B24" i="7" s="1"/>
  <c r="J5" i="4"/>
  <c r="L5" i="7"/>
  <c r="E10" i="1"/>
  <c r="C8" i="7"/>
  <c r="B4" i="7"/>
  <c r="B6" i="1"/>
  <c r="B5" i="1" s="1"/>
  <c r="C5" i="7"/>
  <c r="D5" i="7" s="1"/>
  <c r="B49" i="1"/>
  <c r="D4" i="7" l="1"/>
  <c r="E5" i="7"/>
  <c r="E22" i="7" s="1"/>
  <c r="E23" i="7" s="1"/>
  <c r="E8" i="7"/>
  <c r="F9" i="7"/>
  <c r="F8" i="7" s="1"/>
  <c r="G30" i="1"/>
  <c r="G12" i="4"/>
  <c r="E33" i="1"/>
  <c r="E34" i="1" s="1"/>
  <c r="E35" i="1" s="1"/>
  <c r="F35" i="1" s="1"/>
  <c r="M3" i="7"/>
  <c r="C22" i="7"/>
  <c r="E7" i="1"/>
  <c r="L4" i="7"/>
  <c r="E9" i="4"/>
  <c r="E13" i="4" s="1"/>
  <c r="S2" i="3"/>
  <c r="D9" i="4"/>
  <c r="G4" i="4"/>
  <c r="J4" i="4" s="1"/>
  <c r="C4" i="7"/>
  <c r="D22" i="7"/>
  <c r="D23" i="7" s="1"/>
  <c r="E38" i="1" l="1"/>
  <c r="E39" i="1" s="1"/>
  <c r="F5" i="7"/>
  <c r="F4" i="7" s="1"/>
  <c r="E4" i="7"/>
  <c r="C23" i="7"/>
  <c r="B22" i="7"/>
  <c r="F14" i="4"/>
  <c r="G14" i="4" s="1"/>
  <c r="H4" i="1"/>
  <c r="K11" i="7"/>
  <c r="F4" i="4"/>
  <c r="F5" i="4"/>
  <c r="F6" i="4"/>
  <c r="I27" i="1" l="1"/>
  <c r="L3" i="7"/>
  <c r="S1" i="3"/>
  <c r="U6" i="3" s="1"/>
  <c r="H12" i="4"/>
  <c r="H11" i="4" l="1"/>
  <c r="K8" i="7" l="1"/>
  <c r="K9" i="7"/>
  <c r="L15" i="7"/>
  <c r="H15" i="1"/>
  <c r="K5" i="7" l="1"/>
  <c r="K4" i="7"/>
  <c r="E16" i="4"/>
  <c r="D19" i="4" s="1"/>
  <c r="E20" i="4" s="1"/>
  <c r="F20" i="4" l="1"/>
  <c r="H18" i="4" s="1"/>
  <c r="L16" i="7" l="1"/>
  <c r="S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xb21cn</author>
  </authors>
  <commentList>
    <comment ref="M3" authorId="0" shapeId="0" xr:uid="{867D347C-59C0-4671-A431-57017B2A79A4}">
      <text>
        <r>
          <rPr>
            <b/>
            <sz val="9"/>
            <color indexed="81"/>
            <rFont val="宋体"/>
            <family val="3"/>
            <charset val="134"/>
          </rPr>
          <t>调整为0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JX</author>
    <author>xb21cn</author>
  </authors>
  <commentList>
    <comment ref="K7" authorId="0" shapeId="0" xr:uid="{7E0B01EF-1746-434E-A5F5-773BC093E148}">
      <text>
        <r>
          <rPr>
            <b/>
            <sz val="9"/>
            <color indexed="81"/>
            <rFont val="宋体"/>
            <family val="3"/>
            <charset val="134"/>
          </rPr>
          <t>废料成本</t>
        </r>
      </text>
    </comment>
    <comment ref="G30" authorId="1" shapeId="0" xr:uid="{6C8E58E7-F37D-481D-8526-C436D137D4E4}">
      <text>
        <r>
          <rPr>
            <b/>
            <sz val="9"/>
            <color indexed="81"/>
            <rFont val="宋体"/>
            <family val="3"/>
            <charset val="134"/>
          </rPr>
          <t>个体经营所得税成本</t>
        </r>
      </text>
    </comment>
    <comment ref="E31" authorId="1" shapeId="0" xr:uid="{4C7A9E0B-632F-4DDB-8917-C53287D1C6FA}">
      <text>
        <r>
          <rPr>
            <b/>
            <sz val="9"/>
            <color indexed="81"/>
            <rFont val="宋体"/>
            <family val="3"/>
            <charset val="134"/>
          </rPr>
          <t>差异调整为0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xb21cn</author>
    <author>JX</author>
  </authors>
  <commentList>
    <comment ref="K27" authorId="0" shapeId="0" xr:uid="{26A8F932-D346-451A-B93E-348990784173}">
      <text>
        <r>
          <rPr>
            <b/>
            <sz val="9"/>
            <color indexed="81"/>
            <rFont val="宋体"/>
            <family val="3"/>
            <charset val="134"/>
          </rPr>
          <t>含税单价</t>
        </r>
      </text>
    </comment>
    <comment ref="L27" authorId="0" shapeId="0" xr:uid="{359AF349-05A5-414C-966D-3E99F95E4094}">
      <text>
        <r>
          <rPr>
            <b/>
            <sz val="9"/>
            <color indexed="81"/>
            <rFont val="宋体"/>
            <family val="3"/>
            <charset val="134"/>
          </rPr>
          <t>含税销售额</t>
        </r>
      </text>
    </comment>
    <comment ref="L39" authorId="0" shapeId="0" xr:uid="{60C0912D-9FCD-4F1F-B595-B8E650A64657}">
      <text>
        <r>
          <rPr>
            <b/>
            <sz val="9"/>
            <color indexed="81"/>
            <rFont val="宋体"/>
            <family val="3"/>
            <charset val="134"/>
          </rPr>
          <t>含税销售额</t>
        </r>
      </text>
    </comment>
    <comment ref="N39" authorId="1" shapeId="0" xr:uid="{8235DF20-23B6-4C97-871E-912330022CB5}">
      <text>
        <r>
          <rPr>
            <b/>
            <sz val="9"/>
            <color indexed="81"/>
            <rFont val="宋体"/>
            <family val="3"/>
            <charset val="134"/>
          </rPr>
          <t>不含税金额</t>
        </r>
      </text>
    </comment>
    <comment ref="O39" authorId="1" shapeId="0" xr:uid="{1388E25E-4A5D-407D-9376-AE285FF0B719}">
      <text>
        <r>
          <rPr>
            <b/>
            <sz val="9"/>
            <color indexed="81"/>
            <rFont val="宋体"/>
            <family val="3"/>
            <charset val="134"/>
          </rPr>
          <t>废料成本</t>
        </r>
      </text>
    </comment>
    <comment ref="N65" authorId="1" shapeId="0" xr:uid="{180DE7C8-7C07-49F4-B3E6-283807FB0A3B}">
      <text>
        <r>
          <rPr>
            <b/>
            <sz val="9"/>
            <color indexed="81"/>
            <rFont val="宋体"/>
            <family val="3"/>
            <charset val="134"/>
          </rPr>
          <t>不含税金额</t>
        </r>
      </text>
    </comment>
    <comment ref="O65" authorId="1" shapeId="0" xr:uid="{E93C0C4A-E2EE-44E6-B701-26706509C3A3}">
      <text>
        <r>
          <rPr>
            <b/>
            <sz val="9"/>
            <color indexed="81"/>
            <rFont val="宋体"/>
            <family val="3"/>
            <charset val="134"/>
          </rPr>
          <t>废料成本</t>
        </r>
      </text>
    </comment>
    <comment ref="W78" authorId="1" shapeId="0" xr:uid="{4F576122-52ED-42CA-AE97-36F12CF354D8}">
      <text>
        <r>
          <rPr>
            <b/>
            <sz val="9"/>
            <color indexed="81"/>
            <rFont val="宋体"/>
            <family val="3"/>
            <charset val="134"/>
          </rPr>
          <t>不含税金额</t>
        </r>
      </text>
    </comment>
    <comment ref="X78" authorId="1" shapeId="0" xr:uid="{D6B1B385-33EE-4F00-9708-FBC39C131274}">
      <text>
        <r>
          <rPr>
            <b/>
            <sz val="9"/>
            <color indexed="81"/>
            <rFont val="宋体"/>
            <family val="3"/>
            <charset val="134"/>
          </rPr>
          <t>废料成本</t>
        </r>
      </text>
    </comment>
    <comment ref="N81" authorId="1" shapeId="0" xr:uid="{B750B53E-FB0B-4668-8B3D-2D22A89DD1AF}">
      <text>
        <r>
          <rPr>
            <b/>
            <sz val="9"/>
            <color indexed="81"/>
            <rFont val="宋体"/>
            <family val="3"/>
            <charset val="134"/>
          </rPr>
          <t>不含税金额</t>
        </r>
      </text>
    </comment>
    <comment ref="O81" authorId="1" shapeId="0" xr:uid="{D16D338C-5DFE-41D0-821B-F3033921C4D8}">
      <text>
        <r>
          <rPr>
            <b/>
            <sz val="9"/>
            <color indexed="81"/>
            <rFont val="宋体"/>
            <family val="3"/>
            <charset val="134"/>
          </rPr>
          <t>废料成本</t>
        </r>
      </text>
    </comment>
    <comment ref="W94" authorId="1" shapeId="0" xr:uid="{9BA0BF9E-BA92-48D2-87D6-E6310C712399}">
      <text>
        <r>
          <rPr>
            <b/>
            <sz val="9"/>
            <color indexed="81"/>
            <rFont val="宋体"/>
            <family val="3"/>
            <charset val="134"/>
          </rPr>
          <t>不含税金额</t>
        </r>
      </text>
    </comment>
    <comment ref="X94" authorId="1" shapeId="0" xr:uid="{8E7976E8-D127-4619-ADBA-5E0D206B6D29}">
      <text>
        <r>
          <rPr>
            <b/>
            <sz val="9"/>
            <color indexed="81"/>
            <rFont val="宋体"/>
            <family val="3"/>
            <charset val="134"/>
          </rPr>
          <t>废料成本</t>
        </r>
      </text>
    </comment>
    <comment ref="W119" authorId="1" shapeId="0" xr:uid="{6044C82B-CC92-47B1-8664-7EEA7ED9126A}">
      <text>
        <r>
          <rPr>
            <b/>
            <sz val="9"/>
            <color indexed="81"/>
            <rFont val="宋体"/>
            <family val="3"/>
            <charset val="134"/>
          </rPr>
          <t>不含税金额</t>
        </r>
      </text>
    </comment>
    <comment ref="X119" authorId="1" shapeId="0" xr:uid="{B0A64B3B-B41B-4D45-9267-B183A9B02E2E}">
      <text>
        <r>
          <rPr>
            <b/>
            <sz val="9"/>
            <color indexed="81"/>
            <rFont val="宋体"/>
            <family val="3"/>
            <charset val="134"/>
          </rPr>
          <t>废料成本</t>
        </r>
      </text>
    </comment>
  </commentList>
</comments>
</file>

<file path=xl/sharedStrings.xml><?xml version="1.0" encoding="utf-8"?>
<sst xmlns="http://schemas.openxmlformats.org/spreadsheetml/2006/main" count="684" uniqueCount="308">
  <si>
    <t>收入</t>
    <phoneticPr fontId="2" type="noConversion"/>
  </si>
  <si>
    <t>增值税</t>
    <phoneticPr fontId="2" type="noConversion"/>
  </si>
  <si>
    <t>成本</t>
    <phoneticPr fontId="2" type="noConversion"/>
  </si>
  <si>
    <t>1.工资</t>
    <phoneticPr fontId="2" type="noConversion"/>
  </si>
  <si>
    <t>3.制造费用</t>
    <phoneticPr fontId="2" type="noConversion"/>
  </si>
  <si>
    <t>3.1折旧</t>
    <phoneticPr fontId="2" type="noConversion"/>
  </si>
  <si>
    <t>主营业务税金及附加</t>
    <phoneticPr fontId="2" type="noConversion"/>
  </si>
  <si>
    <t>1.城建税</t>
    <phoneticPr fontId="2" type="noConversion"/>
  </si>
  <si>
    <t>2.教育费附加</t>
    <phoneticPr fontId="2" type="noConversion"/>
  </si>
  <si>
    <t>3.地方教育费附加</t>
    <phoneticPr fontId="2" type="noConversion"/>
  </si>
  <si>
    <t>营业利润</t>
    <phoneticPr fontId="2" type="noConversion"/>
  </si>
  <si>
    <t>管理费用</t>
    <phoneticPr fontId="2" type="noConversion"/>
  </si>
  <si>
    <t>2.办公</t>
    <phoneticPr fontId="2" type="noConversion"/>
  </si>
  <si>
    <t>3.差旅</t>
    <phoneticPr fontId="2" type="noConversion"/>
  </si>
  <si>
    <t>财务费用</t>
    <phoneticPr fontId="2" type="noConversion"/>
  </si>
  <si>
    <t>利润总额</t>
    <phoneticPr fontId="2" type="noConversion"/>
  </si>
  <si>
    <t>净利润</t>
    <phoneticPr fontId="2" type="noConversion"/>
  </si>
  <si>
    <t>手续费</t>
    <phoneticPr fontId="2" type="noConversion"/>
  </si>
  <si>
    <t>利息</t>
    <phoneticPr fontId="2" type="noConversion"/>
  </si>
  <si>
    <t>原 材 料 进 销 存 月 结 表</t>
    <phoneticPr fontId="2" type="noConversion"/>
  </si>
  <si>
    <t>品名</t>
    <phoneticPr fontId="2" type="noConversion"/>
  </si>
  <si>
    <t>单位</t>
    <phoneticPr fontId="2" type="noConversion"/>
  </si>
  <si>
    <t>上月结存</t>
    <phoneticPr fontId="2" type="noConversion"/>
  </si>
  <si>
    <t>本月进仓数</t>
    <phoneticPr fontId="2" type="noConversion"/>
  </si>
  <si>
    <t>本月发出数</t>
    <phoneticPr fontId="2" type="noConversion"/>
  </si>
  <si>
    <t>本月结余</t>
    <phoneticPr fontId="2" type="noConversion"/>
  </si>
  <si>
    <t>备注</t>
    <phoneticPr fontId="2" type="noConversion"/>
  </si>
  <si>
    <t>数量</t>
    <phoneticPr fontId="2" type="noConversion"/>
  </si>
  <si>
    <t>单价</t>
    <phoneticPr fontId="2" type="noConversion"/>
  </si>
  <si>
    <t>金额</t>
    <phoneticPr fontId="2" type="noConversion"/>
  </si>
  <si>
    <t>吨</t>
    <phoneticPr fontId="2" type="noConversion"/>
  </si>
  <si>
    <t>合    计</t>
    <phoneticPr fontId="2" type="noConversion"/>
  </si>
  <si>
    <t>项目</t>
    <phoneticPr fontId="2" type="noConversion"/>
  </si>
  <si>
    <t>上月结存</t>
    <phoneticPr fontId="2" type="noConversion"/>
  </si>
  <si>
    <t>本月发生</t>
    <phoneticPr fontId="2" type="noConversion"/>
  </si>
  <si>
    <t>本月结转</t>
    <phoneticPr fontId="2" type="noConversion"/>
  </si>
  <si>
    <t>本月结余</t>
    <phoneticPr fontId="2" type="noConversion"/>
  </si>
  <si>
    <t>备注</t>
    <phoneticPr fontId="2" type="noConversion"/>
  </si>
  <si>
    <t>材料费</t>
    <phoneticPr fontId="2" type="noConversion"/>
  </si>
  <si>
    <t>工资</t>
    <phoneticPr fontId="2" type="noConversion"/>
  </si>
  <si>
    <t>动力</t>
    <phoneticPr fontId="2" type="noConversion"/>
  </si>
  <si>
    <t>折旧</t>
    <phoneticPr fontId="2" type="noConversion"/>
  </si>
  <si>
    <t>加工成本计算表</t>
    <phoneticPr fontId="2" type="noConversion"/>
  </si>
  <si>
    <r>
      <t xml:space="preserve">    </t>
    </r>
    <r>
      <rPr>
        <b/>
        <sz val="14"/>
        <rFont val="宋体"/>
        <family val="3"/>
        <charset val="134"/>
      </rPr>
      <t>项</t>
    </r>
    <r>
      <rPr>
        <b/>
        <sz val="14"/>
        <rFont val="Times New Roman"/>
        <family val="1"/>
      </rPr>
      <t xml:space="preserve">             </t>
    </r>
    <r>
      <rPr>
        <b/>
        <sz val="14"/>
        <rFont val="宋体"/>
        <family val="3"/>
        <charset val="134"/>
      </rPr>
      <t>目</t>
    </r>
    <phoneticPr fontId="2" type="noConversion"/>
  </si>
  <si>
    <t>数量</t>
    <phoneticPr fontId="2" type="noConversion"/>
  </si>
  <si>
    <t>单位</t>
    <phoneticPr fontId="2" type="noConversion"/>
  </si>
  <si>
    <t>单位成本</t>
    <phoneticPr fontId="2" type="noConversion"/>
  </si>
  <si>
    <r>
      <t>合</t>
    </r>
    <r>
      <rPr>
        <b/>
        <sz val="14"/>
        <rFont val="Times New Roman"/>
        <family val="1"/>
      </rPr>
      <t xml:space="preserve">   </t>
    </r>
    <r>
      <rPr>
        <b/>
        <sz val="14"/>
        <rFont val="宋体"/>
        <family val="3"/>
        <charset val="134"/>
      </rPr>
      <t>计</t>
    </r>
    <phoneticPr fontId="2" type="noConversion"/>
  </si>
  <si>
    <r>
      <t>工</t>
    </r>
    <r>
      <rPr>
        <sz val="14"/>
        <rFont val="Times New Roman"/>
        <family val="1"/>
      </rPr>
      <t xml:space="preserve">       </t>
    </r>
    <r>
      <rPr>
        <sz val="14"/>
        <rFont val="宋体"/>
        <family val="3"/>
        <charset val="134"/>
      </rPr>
      <t>资</t>
    </r>
    <phoneticPr fontId="2" type="noConversion"/>
  </si>
  <si>
    <t>吨</t>
    <phoneticPr fontId="2" type="noConversion"/>
  </si>
  <si>
    <t>制造费用</t>
    <phoneticPr fontId="2" type="noConversion"/>
  </si>
  <si>
    <r>
      <t>总</t>
    </r>
    <r>
      <rPr>
        <b/>
        <sz val="14"/>
        <rFont val="Times New Roman"/>
        <family val="1"/>
      </rPr>
      <t xml:space="preserve">         </t>
    </r>
    <r>
      <rPr>
        <b/>
        <sz val="14"/>
        <rFont val="宋体"/>
        <family val="3"/>
        <charset val="134"/>
      </rPr>
      <t>计</t>
    </r>
    <phoneticPr fontId="2" type="noConversion"/>
  </si>
  <si>
    <t>加工收入：</t>
    <phoneticPr fontId="2" type="noConversion"/>
  </si>
  <si>
    <t>加工利润</t>
    <phoneticPr fontId="2" type="noConversion"/>
  </si>
  <si>
    <t>毛利率</t>
    <phoneticPr fontId="2" type="noConversion"/>
  </si>
  <si>
    <t>1.材料</t>
    <phoneticPr fontId="2" type="noConversion"/>
  </si>
  <si>
    <t>生产成本</t>
    <phoneticPr fontId="2" type="noConversion"/>
  </si>
  <si>
    <t>品名　　　　项目</t>
    <phoneticPr fontId="2" type="noConversion"/>
  </si>
  <si>
    <t>期初库存</t>
    <phoneticPr fontId="2" type="noConversion"/>
  </si>
  <si>
    <t>期末库存</t>
    <phoneticPr fontId="2" type="noConversion"/>
  </si>
  <si>
    <t>数量</t>
    <phoneticPr fontId="2" type="noConversion"/>
  </si>
  <si>
    <t>金额</t>
    <phoneticPr fontId="2" type="noConversion"/>
  </si>
  <si>
    <t>总计金额</t>
    <phoneticPr fontId="2" type="noConversion"/>
  </si>
  <si>
    <t>一、直接计入</t>
    <phoneticPr fontId="2" type="noConversion"/>
  </si>
  <si>
    <t>本期销售</t>
    <phoneticPr fontId="2" type="noConversion"/>
  </si>
  <si>
    <t>本月销售成本</t>
    <phoneticPr fontId="2" type="noConversion"/>
  </si>
  <si>
    <t>单价</t>
    <phoneticPr fontId="2" type="noConversion"/>
  </si>
  <si>
    <t>单位</t>
    <phoneticPr fontId="2" type="noConversion"/>
  </si>
  <si>
    <t>产品销售成本计算表</t>
    <phoneticPr fontId="2" type="noConversion"/>
  </si>
  <si>
    <t>销项</t>
    <phoneticPr fontId="2" type="noConversion"/>
  </si>
  <si>
    <t>进项</t>
    <phoneticPr fontId="2" type="noConversion"/>
  </si>
  <si>
    <t>料率</t>
    <phoneticPr fontId="2" type="noConversion"/>
  </si>
  <si>
    <t>本期生产</t>
    <phoneticPr fontId="2" type="noConversion"/>
  </si>
  <si>
    <t>总成本合计</t>
    <phoneticPr fontId="2" type="noConversion"/>
  </si>
  <si>
    <t>动力率</t>
    <phoneticPr fontId="2" type="noConversion"/>
  </si>
  <si>
    <t>工资率</t>
    <phoneticPr fontId="2" type="noConversion"/>
  </si>
  <si>
    <r>
      <t xml:space="preserve">    1.</t>
    </r>
    <r>
      <rPr>
        <sz val="12"/>
        <rFont val="宋体"/>
        <family val="3"/>
        <charset val="134"/>
      </rPr>
      <t>原材料</t>
    </r>
    <phoneticPr fontId="2" type="noConversion"/>
  </si>
  <si>
    <r>
      <t xml:space="preserve">    3.</t>
    </r>
    <r>
      <rPr>
        <sz val="12"/>
        <rFont val="宋体"/>
        <family val="3"/>
        <charset val="134"/>
      </rPr>
      <t>工资及福利</t>
    </r>
    <phoneticPr fontId="2" type="noConversion"/>
  </si>
  <si>
    <r>
      <t>二、分配计入</t>
    </r>
    <r>
      <rPr>
        <sz val="12"/>
        <rFont val="Times New Roman"/>
        <family val="1"/>
      </rPr>
      <t xml:space="preserve"> </t>
    </r>
    <phoneticPr fontId="2" type="noConversion"/>
  </si>
  <si>
    <r>
      <t xml:space="preserve">    1.</t>
    </r>
    <r>
      <rPr>
        <sz val="12"/>
        <rFont val="宋体"/>
        <family val="3"/>
        <charset val="134"/>
      </rPr>
      <t>水电费</t>
    </r>
    <phoneticPr fontId="2" type="noConversion"/>
  </si>
  <si>
    <r>
      <t xml:space="preserve">    2.</t>
    </r>
    <r>
      <rPr>
        <sz val="12"/>
        <rFont val="宋体"/>
        <family val="3"/>
        <charset val="134"/>
      </rPr>
      <t>折旧费</t>
    </r>
    <phoneticPr fontId="2" type="noConversion"/>
  </si>
  <si>
    <r>
      <t xml:space="preserve">    4.</t>
    </r>
    <r>
      <rPr>
        <sz val="12"/>
        <rFont val="宋体"/>
        <family val="3"/>
        <charset val="134"/>
      </rPr>
      <t>劳动保护费</t>
    </r>
    <phoneticPr fontId="2" type="noConversion"/>
  </si>
  <si>
    <r>
      <t xml:space="preserve">    5.</t>
    </r>
    <r>
      <rPr>
        <sz val="12"/>
        <rFont val="宋体"/>
        <family val="3"/>
        <charset val="134"/>
      </rPr>
      <t>物料费</t>
    </r>
    <phoneticPr fontId="2" type="noConversion"/>
  </si>
  <si>
    <r>
      <t xml:space="preserve">    6.</t>
    </r>
    <r>
      <rPr>
        <sz val="12"/>
        <rFont val="宋体"/>
        <family val="3"/>
        <charset val="134"/>
      </rPr>
      <t>燃油费</t>
    </r>
    <phoneticPr fontId="2" type="noConversion"/>
  </si>
  <si>
    <r>
      <t xml:space="preserve">    7.</t>
    </r>
    <r>
      <rPr>
        <sz val="12"/>
        <rFont val="宋体"/>
        <family val="3"/>
        <charset val="134"/>
      </rPr>
      <t>其他费用</t>
    </r>
    <phoneticPr fontId="2" type="noConversion"/>
  </si>
  <si>
    <t>产成品数量</t>
    <phoneticPr fontId="2" type="noConversion"/>
  </si>
  <si>
    <t>平均单价</t>
    <phoneticPr fontId="2" type="noConversion"/>
  </si>
  <si>
    <r>
      <t xml:space="preserve">    2.</t>
    </r>
    <r>
      <rPr>
        <sz val="12"/>
        <rFont val="宋体"/>
        <family val="3"/>
        <charset val="134"/>
      </rPr>
      <t>包装物</t>
    </r>
    <phoneticPr fontId="2" type="noConversion"/>
  </si>
  <si>
    <t>期初待抵</t>
    <phoneticPr fontId="2" type="noConversion"/>
  </si>
  <si>
    <t>本期增加</t>
    <phoneticPr fontId="2" type="noConversion"/>
  </si>
  <si>
    <t>期末留抵</t>
    <phoneticPr fontId="2" type="noConversion"/>
  </si>
  <si>
    <t>部门名称</t>
    <phoneticPr fontId="2" type="noConversion"/>
  </si>
  <si>
    <t>应发金额</t>
    <phoneticPr fontId="2" type="noConversion"/>
  </si>
  <si>
    <t>管理部门</t>
    <phoneticPr fontId="2" type="noConversion"/>
  </si>
  <si>
    <t>合    计</t>
    <phoneticPr fontId="2" type="noConversion"/>
  </si>
  <si>
    <r>
      <t xml:space="preserve"> </t>
    </r>
    <r>
      <rPr>
        <b/>
        <sz val="16"/>
        <rFont val="宋体"/>
        <family val="3"/>
        <charset val="134"/>
      </rPr>
      <t>货币单位</t>
    </r>
    <r>
      <rPr>
        <b/>
        <sz val="16"/>
        <rFont val="Times New Roman"/>
        <family val="1"/>
      </rPr>
      <t>:</t>
    </r>
    <r>
      <rPr>
        <b/>
        <sz val="16"/>
        <rFont val="宋体"/>
        <family val="3"/>
        <charset val="134"/>
      </rPr>
      <t>元</t>
    </r>
    <phoneticPr fontId="2" type="noConversion"/>
  </si>
  <si>
    <t>生产成本月结表</t>
    <phoneticPr fontId="2" type="noConversion"/>
  </si>
  <si>
    <t>公斤</t>
    <phoneticPr fontId="2" type="noConversion"/>
  </si>
  <si>
    <t>留抵</t>
    <phoneticPr fontId="2" type="noConversion"/>
  </si>
  <si>
    <r>
      <t xml:space="preserve">项目　 </t>
    </r>
    <r>
      <rPr>
        <sz val="12"/>
        <rFont val="宋体"/>
        <family val="3"/>
        <charset val="134"/>
      </rPr>
      <t xml:space="preserve">   </t>
    </r>
    <r>
      <rPr>
        <sz val="12"/>
        <rFont val="宋体"/>
        <family val="3"/>
        <charset val="134"/>
      </rPr>
      <t>　品名</t>
    </r>
    <phoneticPr fontId="2" type="noConversion"/>
  </si>
  <si>
    <t>营业外收入</t>
    <phoneticPr fontId="2" type="noConversion"/>
  </si>
  <si>
    <t>本期认证</t>
    <phoneticPr fontId="2" type="noConversion"/>
  </si>
  <si>
    <t>营业外支出</t>
    <phoneticPr fontId="2" type="noConversion"/>
  </si>
  <si>
    <t>实缴</t>
    <phoneticPr fontId="2" type="noConversion"/>
  </si>
  <si>
    <t>应缴</t>
    <phoneticPr fontId="2" type="noConversion"/>
  </si>
  <si>
    <t>多交</t>
    <phoneticPr fontId="2" type="noConversion"/>
  </si>
  <si>
    <t>销售废料0元</t>
    <phoneticPr fontId="2" type="noConversion"/>
  </si>
  <si>
    <t>揭阳市揭东区磐东洪运来机械厂</t>
    <phoneticPr fontId="2" type="noConversion"/>
  </si>
  <si>
    <t>生产车间</t>
    <phoneticPr fontId="2" type="noConversion"/>
  </si>
  <si>
    <t>累计销售额</t>
    <phoneticPr fontId="2" type="noConversion"/>
  </si>
  <si>
    <t>累计销售额</t>
    <phoneticPr fontId="2" type="noConversion"/>
  </si>
  <si>
    <t>年销售额</t>
    <phoneticPr fontId="2" type="noConversion"/>
  </si>
  <si>
    <t>年利润总额</t>
    <phoneticPr fontId="2" type="noConversion"/>
  </si>
  <si>
    <t>利润总额</t>
    <phoneticPr fontId="2" type="noConversion"/>
  </si>
  <si>
    <t>投资者减除</t>
    <phoneticPr fontId="2" type="noConversion"/>
  </si>
  <si>
    <t>应纳税额</t>
  </si>
  <si>
    <t>应纳税所得额</t>
    <phoneticPr fontId="2" type="noConversion"/>
  </si>
  <si>
    <t>已缴纳税额</t>
    <phoneticPr fontId="2" type="noConversion"/>
  </si>
  <si>
    <t>应补税额</t>
    <phoneticPr fontId="2" type="noConversion"/>
  </si>
  <si>
    <t>减免税额</t>
    <phoneticPr fontId="2" type="noConversion"/>
  </si>
  <si>
    <t>实际利润总额</t>
    <phoneticPr fontId="2" type="noConversion"/>
  </si>
  <si>
    <t>差异</t>
    <phoneticPr fontId="2" type="noConversion"/>
  </si>
  <si>
    <t>贷款息</t>
    <phoneticPr fontId="2" type="noConversion"/>
  </si>
  <si>
    <t>9.房产税</t>
    <phoneticPr fontId="2" type="noConversion"/>
  </si>
  <si>
    <r>
      <t>1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.社保费</t>
    </r>
    <phoneticPr fontId="2" type="noConversion"/>
  </si>
  <si>
    <t>8.土地使用税</t>
    <phoneticPr fontId="2" type="noConversion"/>
  </si>
  <si>
    <t>4.业务</t>
    <phoneticPr fontId="2" type="noConversion"/>
  </si>
  <si>
    <t>6.折旧</t>
    <phoneticPr fontId="2" type="noConversion"/>
  </si>
  <si>
    <t>产  品  成  本  核  算  表</t>
    <phoneticPr fontId="2" type="noConversion"/>
  </si>
  <si>
    <t>合　　计</t>
    <phoneticPr fontId="2" type="noConversion"/>
  </si>
  <si>
    <t>工        资        表</t>
  </si>
  <si>
    <t>序号</t>
  </si>
  <si>
    <t>姓   名</t>
  </si>
  <si>
    <t>应发工资</t>
  </si>
  <si>
    <t>扣   款</t>
  </si>
  <si>
    <t>实发工资</t>
  </si>
  <si>
    <t>签   名</t>
  </si>
  <si>
    <t>合   计</t>
  </si>
  <si>
    <t>揭阳市揭东区磐东洪运来机械厂</t>
    <phoneticPr fontId="28" type="noConversion"/>
  </si>
  <si>
    <t>姓名</t>
  </si>
  <si>
    <t>杨泽明</t>
  </si>
  <si>
    <t>余文平</t>
  </si>
  <si>
    <t>陈云凤</t>
  </si>
  <si>
    <t>代玉金</t>
  </si>
  <si>
    <t>杨艳群</t>
  </si>
  <si>
    <t>李金容</t>
  </si>
  <si>
    <t>张贵华</t>
  </si>
  <si>
    <t>李洪军</t>
  </si>
  <si>
    <t>李静</t>
  </si>
  <si>
    <t>少结材料</t>
  </si>
  <si>
    <t>开票单价提高</t>
  </si>
  <si>
    <t>废料</t>
  </si>
  <si>
    <t>缓交税额</t>
    <phoneticPr fontId="2" type="noConversion"/>
  </si>
  <si>
    <t>期初电</t>
    <phoneticPr fontId="2" type="noConversion"/>
  </si>
  <si>
    <t>期末电</t>
    <phoneticPr fontId="2" type="noConversion"/>
  </si>
  <si>
    <r>
      <t>3.</t>
    </r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电费</t>
    </r>
    <phoneticPr fontId="2" type="noConversion"/>
  </si>
  <si>
    <r>
      <t>3</t>
    </r>
    <r>
      <rPr>
        <sz val="12"/>
        <rFont val="宋体"/>
        <family val="3"/>
        <charset val="134"/>
      </rPr>
      <t>.3加工费</t>
    </r>
    <phoneticPr fontId="2" type="noConversion"/>
  </si>
  <si>
    <r>
      <t xml:space="preserve">    3.</t>
    </r>
    <r>
      <rPr>
        <sz val="12"/>
        <rFont val="宋体"/>
        <family val="3"/>
        <charset val="134"/>
      </rPr>
      <t>加工费</t>
    </r>
    <phoneticPr fontId="2" type="noConversion"/>
  </si>
  <si>
    <t>废铁</t>
    <phoneticPr fontId="2" type="noConversion"/>
  </si>
  <si>
    <t>税额</t>
    <phoneticPr fontId="2" type="noConversion"/>
  </si>
  <si>
    <t>含税</t>
    <phoneticPr fontId="2" type="noConversion"/>
  </si>
  <si>
    <t>当月月头</t>
    <phoneticPr fontId="2" type="noConversion"/>
  </si>
  <si>
    <t>上月电费  度*0.785元/度=</t>
    <phoneticPr fontId="2" type="noConversion"/>
  </si>
  <si>
    <t>李</t>
    <phoneticPr fontId="2" type="noConversion"/>
  </si>
  <si>
    <t>钢珠</t>
    <phoneticPr fontId="2" type="noConversion"/>
  </si>
  <si>
    <t>2022年洪运来电费</t>
    <phoneticPr fontId="38" type="noConversion"/>
  </si>
  <si>
    <t>月份</t>
  </si>
  <si>
    <t>度数（KWH）</t>
  </si>
  <si>
    <t>单价</t>
  </si>
  <si>
    <t>金额（不含税</t>
  </si>
  <si>
    <t>税额</t>
  </si>
  <si>
    <t>金额（含税</t>
  </si>
  <si>
    <t>2023年洪运来电费</t>
    <phoneticPr fontId="38" type="noConversion"/>
  </si>
  <si>
    <r>
      <t>付1</t>
    </r>
    <r>
      <rPr>
        <sz val="12"/>
        <rFont val="宋体"/>
        <family val="3"/>
        <charset val="134"/>
      </rPr>
      <t>2月电费</t>
    </r>
    <phoneticPr fontId="2" type="noConversion"/>
  </si>
  <si>
    <t>付11月电费</t>
    <phoneticPr fontId="2" type="noConversion"/>
  </si>
  <si>
    <t>付10月电费</t>
    <phoneticPr fontId="2" type="noConversion"/>
  </si>
  <si>
    <r>
      <t>付1</t>
    </r>
    <r>
      <rPr>
        <sz val="12"/>
        <rFont val="宋体"/>
        <family val="3"/>
        <charset val="134"/>
      </rPr>
      <t>月电费</t>
    </r>
    <phoneticPr fontId="2" type="noConversion"/>
  </si>
  <si>
    <t>千克</t>
    <phoneticPr fontId="2" type="noConversion"/>
  </si>
  <si>
    <t>套</t>
    <phoneticPr fontId="2" type="noConversion"/>
  </si>
  <si>
    <r>
      <t>付2</t>
    </r>
    <r>
      <rPr>
        <sz val="12"/>
        <rFont val="宋体"/>
        <family val="3"/>
        <charset val="134"/>
      </rPr>
      <t>月电费</t>
    </r>
    <phoneticPr fontId="2" type="noConversion"/>
  </si>
  <si>
    <t>无票销售</t>
    <phoneticPr fontId="2" type="noConversion"/>
  </si>
  <si>
    <t>销售单价</t>
    <phoneticPr fontId="2" type="noConversion"/>
  </si>
  <si>
    <t>开票销售</t>
    <phoneticPr fontId="2" type="noConversion"/>
  </si>
  <si>
    <r>
      <t>付3</t>
    </r>
    <r>
      <rPr>
        <sz val="12"/>
        <rFont val="宋体"/>
        <family val="3"/>
        <charset val="134"/>
      </rPr>
      <t>月电费</t>
    </r>
    <phoneticPr fontId="2" type="noConversion"/>
  </si>
  <si>
    <r>
      <t>5</t>
    </r>
    <r>
      <rPr>
        <sz val="12"/>
        <rFont val="宋体"/>
        <family val="3"/>
        <charset val="134"/>
      </rPr>
      <t>.</t>
    </r>
    <r>
      <rPr>
        <sz val="12"/>
        <rFont val="宋体"/>
        <family val="3"/>
        <charset val="134"/>
      </rPr>
      <t>保险</t>
    </r>
    <phoneticPr fontId="2" type="noConversion"/>
  </si>
  <si>
    <t>报关</t>
    <phoneticPr fontId="2" type="noConversion"/>
  </si>
  <si>
    <t>纸箱</t>
    <phoneticPr fontId="2" type="noConversion"/>
  </si>
  <si>
    <t>个</t>
    <phoneticPr fontId="2" type="noConversion"/>
  </si>
  <si>
    <t>废料销售</t>
  </si>
  <si>
    <t>4月未销售废料</t>
    <phoneticPr fontId="2" type="noConversion"/>
  </si>
  <si>
    <r>
      <t>付4</t>
    </r>
    <r>
      <rPr>
        <sz val="12"/>
        <rFont val="宋体"/>
        <family val="3"/>
        <charset val="134"/>
      </rPr>
      <t>月电费</t>
    </r>
    <phoneticPr fontId="2" type="noConversion"/>
  </si>
  <si>
    <t>销售费用</t>
    <phoneticPr fontId="2" type="noConversion"/>
  </si>
  <si>
    <t>出口服务费</t>
    <phoneticPr fontId="2" type="noConversion"/>
  </si>
  <si>
    <t>带钢</t>
    <phoneticPr fontId="2" type="noConversion"/>
  </si>
  <si>
    <t>5月未销售废料</t>
    <phoneticPr fontId="2" type="noConversion"/>
  </si>
  <si>
    <t>加工</t>
    <phoneticPr fontId="2" type="noConversion"/>
  </si>
  <si>
    <r>
      <t>付5</t>
    </r>
    <r>
      <rPr>
        <sz val="12"/>
        <rFont val="宋体"/>
        <family val="3"/>
        <charset val="134"/>
      </rPr>
      <t>月电费</t>
    </r>
    <phoneticPr fontId="2" type="noConversion"/>
  </si>
  <si>
    <t>6月未销售废料</t>
    <phoneticPr fontId="2" type="noConversion"/>
  </si>
  <si>
    <r>
      <t>付6</t>
    </r>
    <r>
      <rPr>
        <sz val="12"/>
        <rFont val="宋体"/>
        <family val="3"/>
        <charset val="134"/>
      </rPr>
      <t>月电费</t>
    </r>
    <phoneticPr fontId="2" type="noConversion"/>
  </si>
  <si>
    <t>运输费</t>
    <phoneticPr fontId="2" type="noConversion"/>
  </si>
  <si>
    <t>7月未销售废料</t>
    <phoneticPr fontId="2" type="noConversion"/>
  </si>
  <si>
    <t>王彬</t>
  </si>
  <si>
    <t>代燕</t>
  </si>
  <si>
    <r>
      <t>付7</t>
    </r>
    <r>
      <rPr>
        <sz val="12"/>
        <rFont val="宋体"/>
        <family val="3"/>
        <charset val="134"/>
      </rPr>
      <t>月电费</t>
    </r>
    <phoneticPr fontId="2" type="noConversion"/>
  </si>
  <si>
    <t>8月未销售废料</t>
    <phoneticPr fontId="2" type="noConversion"/>
  </si>
  <si>
    <r>
      <t>付8</t>
    </r>
    <r>
      <rPr>
        <sz val="12"/>
        <rFont val="宋体"/>
        <family val="3"/>
        <charset val="134"/>
      </rPr>
      <t>月电费</t>
    </r>
    <phoneticPr fontId="2" type="noConversion"/>
  </si>
  <si>
    <t>冲减无票销售</t>
    <phoneticPr fontId="2" type="noConversion"/>
  </si>
  <si>
    <t>退税综合服务费</t>
    <phoneticPr fontId="2" type="noConversion"/>
  </si>
  <si>
    <t>9月未销售废料</t>
    <phoneticPr fontId="2" type="noConversion"/>
  </si>
  <si>
    <t>税款</t>
    <phoneticPr fontId="2" type="noConversion"/>
  </si>
  <si>
    <r>
      <t>付9</t>
    </r>
    <r>
      <rPr>
        <sz val="12"/>
        <rFont val="宋体"/>
        <family val="3"/>
        <charset val="134"/>
      </rPr>
      <t>月电费</t>
    </r>
    <phoneticPr fontId="2" type="noConversion"/>
  </si>
  <si>
    <t>10月未销售废料</t>
    <phoneticPr fontId="2" type="noConversion"/>
  </si>
  <si>
    <t>铁制导轨（千克</t>
  </si>
  <si>
    <t>订单</t>
    <phoneticPr fontId="2" type="noConversion"/>
  </si>
  <si>
    <r>
      <t>付10</t>
    </r>
    <r>
      <rPr>
        <sz val="12"/>
        <rFont val="宋体"/>
        <family val="3"/>
        <charset val="134"/>
      </rPr>
      <t>月电费</t>
    </r>
    <phoneticPr fontId="2" type="noConversion"/>
  </si>
  <si>
    <t>11月未销售废料</t>
    <phoneticPr fontId="2" type="noConversion"/>
  </si>
  <si>
    <r>
      <t>付1</t>
    </r>
    <r>
      <rPr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月电费</t>
    </r>
    <phoneticPr fontId="2" type="noConversion"/>
  </si>
  <si>
    <t>汇兑损益</t>
    <phoneticPr fontId="2" type="noConversion"/>
  </si>
  <si>
    <t>7.福利费</t>
    <phoneticPr fontId="2" type="noConversion"/>
  </si>
  <si>
    <r>
      <t>202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年洪运来电费</t>
    </r>
    <phoneticPr fontId="38" type="noConversion"/>
  </si>
  <si>
    <t>12月未销售废料</t>
    <phoneticPr fontId="2" type="noConversion"/>
  </si>
  <si>
    <t>12月未销售废料</t>
  </si>
  <si>
    <t>1月未销售废料</t>
    <phoneticPr fontId="2" type="noConversion"/>
  </si>
  <si>
    <t>2月未销售废料</t>
    <phoneticPr fontId="2" type="noConversion"/>
  </si>
  <si>
    <t>卡板托盘</t>
    <phoneticPr fontId="2" type="noConversion"/>
  </si>
  <si>
    <t>3月未销售废料</t>
    <phoneticPr fontId="2" type="noConversion"/>
  </si>
  <si>
    <t>带钢</t>
  </si>
  <si>
    <t>吨</t>
  </si>
  <si>
    <t>预测废料</t>
    <phoneticPr fontId="2" type="noConversion"/>
  </si>
  <si>
    <t>镀铝锌卷板</t>
  </si>
  <si>
    <t>5月</t>
    <phoneticPr fontId="2" type="noConversion"/>
  </si>
  <si>
    <t>以上废料已结算</t>
    <phoneticPr fontId="2" type="noConversion"/>
  </si>
  <si>
    <t>*金属制品*废铁</t>
  </si>
  <si>
    <t>含税金额</t>
    <phoneticPr fontId="2" type="noConversion"/>
  </si>
  <si>
    <t>滑轨塑料配件</t>
    <phoneticPr fontId="2" type="noConversion"/>
  </si>
  <si>
    <t>套</t>
    <phoneticPr fontId="2" type="noConversion"/>
  </si>
  <si>
    <t>镀锌带钢</t>
  </si>
  <si>
    <t>6月</t>
    <phoneticPr fontId="2" type="noConversion"/>
  </si>
  <si>
    <t>胶带</t>
    <phoneticPr fontId="2" type="noConversion"/>
  </si>
  <si>
    <t>平方米</t>
    <phoneticPr fontId="2" type="noConversion"/>
  </si>
  <si>
    <t>7月</t>
    <phoneticPr fontId="2" type="noConversion"/>
  </si>
  <si>
    <t>吴文荣</t>
  </si>
  <si>
    <t>石光成</t>
  </si>
  <si>
    <t>曾小琼</t>
  </si>
  <si>
    <t>叶书香</t>
  </si>
  <si>
    <t>代飞</t>
  </si>
  <si>
    <t>刘华清</t>
  </si>
  <si>
    <t>郑华强</t>
  </si>
  <si>
    <t>郑文益</t>
  </si>
  <si>
    <t>润滑脂</t>
    <phoneticPr fontId="2" type="noConversion"/>
  </si>
  <si>
    <t>桶</t>
    <phoneticPr fontId="2" type="noConversion"/>
  </si>
  <si>
    <t>冷轧板卷</t>
  </si>
  <si>
    <t>8月</t>
    <phoneticPr fontId="2" type="noConversion"/>
  </si>
  <si>
    <t>成本率</t>
    <phoneticPr fontId="2" type="noConversion"/>
  </si>
  <si>
    <t>材料接近0</t>
    <phoneticPr fontId="2" type="noConversion"/>
  </si>
  <si>
    <t>废料接近0</t>
    <phoneticPr fontId="2" type="noConversion"/>
  </si>
  <si>
    <t>9月</t>
    <phoneticPr fontId="2" type="noConversion"/>
  </si>
  <si>
    <r>
      <t>2</t>
    </r>
    <r>
      <rPr>
        <sz val="12"/>
        <rFont val="宋体"/>
        <family val="3"/>
        <charset val="134"/>
      </rPr>
      <t>024.10.26</t>
    </r>
    <phoneticPr fontId="2" type="noConversion"/>
  </si>
  <si>
    <t>物料</t>
    <phoneticPr fontId="2" type="noConversion"/>
  </si>
  <si>
    <t>10月</t>
    <phoneticPr fontId="2" type="noConversion"/>
  </si>
  <si>
    <t>11月</t>
    <phoneticPr fontId="2" type="noConversion"/>
  </si>
  <si>
    <t>郭聪</t>
  </si>
  <si>
    <t>镀锌卷板</t>
  </si>
  <si>
    <r>
      <t>1</t>
    </r>
    <r>
      <rPr>
        <sz val="12"/>
        <rFont val="宋体"/>
        <family val="3"/>
        <charset val="134"/>
      </rPr>
      <t>2月</t>
    </r>
    <phoneticPr fontId="2" type="noConversion"/>
  </si>
  <si>
    <t>2024.12.27</t>
    <phoneticPr fontId="2" type="noConversion"/>
  </si>
  <si>
    <t>2025年洪运来电费</t>
    <phoneticPr fontId="38" type="noConversion"/>
  </si>
  <si>
    <t>动力余额</t>
    <phoneticPr fontId="2" type="noConversion"/>
  </si>
  <si>
    <r>
      <t>1</t>
    </r>
    <r>
      <rPr>
        <sz val="12"/>
        <rFont val="宋体"/>
        <family val="3"/>
        <charset val="134"/>
      </rPr>
      <t>月</t>
    </r>
    <phoneticPr fontId="2" type="noConversion"/>
  </si>
  <si>
    <t>钢珠</t>
  </si>
  <si>
    <t>滑轨塑料配件</t>
  </si>
  <si>
    <t>润滑脂</t>
  </si>
  <si>
    <t>纸箱</t>
  </si>
  <si>
    <t>卡板托盘</t>
  </si>
  <si>
    <t>2月</t>
    <phoneticPr fontId="2" type="noConversion"/>
  </si>
  <si>
    <t>谢苏玲</t>
  </si>
  <si>
    <t>钟玉婷</t>
  </si>
  <si>
    <t>杨玲</t>
  </si>
  <si>
    <t>杨玉银</t>
  </si>
  <si>
    <t>石珠福</t>
  </si>
  <si>
    <t>*金属制品*废铁</t>
    <phoneticPr fontId="2" type="noConversion"/>
  </si>
  <si>
    <t>吨</t>
    <phoneticPr fontId="2" type="noConversion"/>
  </si>
  <si>
    <r>
      <t>2025</t>
    </r>
    <r>
      <rPr>
        <sz val="12"/>
        <rFont val="宋体"/>
        <family val="3"/>
        <charset val="134"/>
      </rPr>
      <t>.</t>
    </r>
    <r>
      <rPr>
        <sz val="12"/>
        <rFont val="宋体"/>
        <family val="3"/>
        <charset val="134"/>
      </rPr>
      <t>02</t>
    </r>
    <r>
      <rPr>
        <sz val="12"/>
        <rFont val="宋体"/>
        <family val="3"/>
        <charset val="134"/>
      </rPr>
      <t>.</t>
    </r>
    <r>
      <rPr>
        <sz val="12"/>
        <rFont val="宋体"/>
        <family val="3"/>
        <charset val="134"/>
      </rPr>
      <t>26</t>
    </r>
    <phoneticPr fontId="2" type="noConversion"/>
  </si>
  <si>
    <t>3月</t>
    <phoneticPr fontId="2" type="noConversion"/>
  </si>
  <si>
    <t>4月</t>
    <phoneticPr fontId="2" type="noConversion"/>
  </si>
  <si>
    <r>
      <t>2</t>
    </r>
    <r>
      <rPr>
        <sz val="12"/>
        <rFont val="宋体"/>
        <family val="3"/>
        <charset val="134"/>
      </rPr>
      <t>025.05.27</t>
    </r>
    <phoneticPr fontId="2" type="noConversion"/>
  </si>
  <si>
    <t>滑轨（付</t>
  </si>
  <si>
    <t>冷轧卷板</t>
  </si>
  <si>
    <t>加工费余额</t>
    <phoneticPr fontId="2" type="noConversion"/>
  </si>
  <si>
    <t>付</t>
  </si>
  <si>
    <t>2025.09.24</t>
  </si>
  <si>
    <t>冷轧带钢</t>
    <phoneticPr fontId="2" type="noConversion"/>
  </si>
  <si>
    <t>冷轧卷板</t>
    <phoneticPr fontId="2" type="noConversion"/>
  </si>
  <si>
    <t>吨</t>
    <phoneticPr fontId="2" type="noConversion"/>
  </si>
  <si>
    <t>冷轧带钢</t>
  </si>
  <si>
    <t>单位：元   2025年11月</t>
    <phoneticPr fontId="28" type="noConversion"/>
  </si>
  <si>
    <t xml:space="preserve">  编制单位：揭阳市揭东区磐东洪运来机械厂     2025 年 12 月份 　        单位：元         </t>
    <phoneticPr fontId="2" type="noConversion"/>
  </si>
  <si>
    <r>
      <t>2025</t>
    </r>
    <r>
      <rPr>
        <b/>
        <sz val="22"/>
        <rFont val="宋体"/>
        <family val="3"/>
        <charset val="134"/>
      </rPr>
      <t>年</t>
    </r>
    <r>
      <rPr>
        <b/>
        <sz val="22"/>
        <rFont val="Times New Roman"/>
        <family val="1"/>
      </rPr>
      <t>12</t>
    </r>
    <r>
      <rPr>
        <b/>
        <sz val="22"/>
        <rFont val="宋体"/>
        <family val="3"/>
        <charset val="134"/>
      </rPr>
      <t>月工资计算表</t>
    </r>
    <phoneticPr fontId="2" type="noConversion"/>
  </si>
  <si>
    <t>报关费</t>
    <phoneticPr fontId="2" type="noConversion"/>
  </si>
  <si>
    <t xml:space="preserve"> 编制单位：揭阳市揭东区磐东洪运来机械厂        　　　　      2025 年 12 月份                                      单位：人民币元</t>
    <phoneticPr fontId="2" type="noConversion"/>
  </si>
  <si>
    <t xml:space="preserve">  编制单位：揭阳市揭东区磐东洪运来机械厂                    2025年12月                               单位:元</t>
    <phoneticPr fontId="2" type="noConversion"/>
  </si>
  <si>
    <t>-76-77</t>
    <phoneticPr fontId="2" type="noConversion"/>
  </si>
  <si>
    <t>导轨（套</t>
  </si>
  <si>
    <t>滑轨（套</t>
  </si>
  <si>
    <t>套</t>
  </si>
  <si>
    <t>废料</t>
    <phoneticPr fontId="2" type="noConversion"/>
  </si>
  <si>
    <t>废料太低（负数）降低加工费</t>
    <phoneticPr fontId="2" type="noConversion"/>
  </si>
  <si>
    <t>12月</t>
    <phoneticPr fontId="2" type="noConversion"/>
  </si>
  <si>
    <t xml:space="preserve">  编制单位:揭阳市揭东区磐东洪运来机械厂                   2025.12                        单位:元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</si>
</sst>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#,##0.00_ "/>
    <numFmt numFmtId="177" formatCode="0.00_ "/>
    <numFmt numFmtId="178" formatCode="0.00_);[Red]\(0.00\)"/>
    <numFmt numFmtId="179" formatCode="0.000_);[Red]\(0.000\)"/>
    <numFmt numFmtId="180" formatCode="0.0000_ "/>
    <numFmt numFmtId="181" formatCode="0.000_ "/>
    <numFmt numFmtId="182" formatCode="0_);[Red]\(0\)"/>
    <numFmt numFmtId="183" formatCode="0_ "/>
    <numFmt numFmtId="184" formatCode="#,##0.00_);[Red]\(#,##0.00\)"/>
    <numFmt numFmtId="185" formatCode="_ * #,##0.0000_ ;_ * \-#,##0.0000_ ;_ * &quot;-&quot;??_ ;_ @_ "/>
    <numFmt numFmtId="186" formatCode="0.00000_);[Red]\(0.00000\)"/>
    <numFmt numFmtId="187" formatCode="0.000000_ "/>
    <numFmt numFmtId="188" formatCode="0.000"/>
    <numFmt numFmtId="189" formatCode="_ * #,##0.00000_ ;_ * \-#,##0.00000_ ;_ * &quot;-&quot;??_ ;_ @_ "/>
    <numFmt numFmtId="190" formatCode="0.00000000000_ "/>
    <numFmt numFmtId="191" formatCode="0.000%"/>
    <numFmt numFmtId="192" formatCode="0.00000000_ "/>
    <numFmt numFmtId="193" formatCode="0.000000"/>
  </numFmts>
  <fonts count="54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6"/>
      <name val="宋体"/>
      <family val="3"/>
      <charset val="134"/>
    </font>
    <font>
      <b/>
      <sz val="18"/>
      <name val="宋体"/>
      <family val="3"/>
      <charset val="134"/>
    </font>
    <font>
      <b/>
      <sz val="12"/>
      <name val="Times New Roman"/>
      <family val="1"/>
    </font>
    <font>
      <b/>
      <sz val="12"/>
      <name val="宋体"/>
      <family val="3"/>
      <charset val="134"/>
    </font>
    <font>
      <b/>
      <sz val="14"/>
      <name val="Times New Roman"/>
      <family val="1"/>
    </font>
    <font>
      <b/>
      <sz val="14"/>
      <name val="宋体"/>
      <family val="3"/>
      <charset val="134"/>
    </font>
    <font>
      <b/>
      <sz val="24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22"/>
      <name val="Times New Roman"/>
      <family val="1"/>
    </font>
    <font>
      <sz val="22"/>
      <name val="黑体"/>
      <family val="3"/>
      <charset val="134"/>
    </font>
    <font>
      <b/>
      <sz val="11"/>
      <name val="宋体"/>
      <family val="3"/>
      <charset val="134"/>
    </font>
    <font>
      <sz val="14"/>
      <name val="宋体"/>
      <family val="3"/>
      <charset val="134"/>
    </font>
    <font>
      <sz val="14"/>
      <name val="Times New Roman"/>
      <family val="1"/>
    </font>
    <font>
      <b/>
      <u/>
      <sz val="26"/>
      <name val="隶书"/>
      <family val="3"/>
      <charset val="134"/>
    </font>
    <font>
      <b/>
      <sz val="18"/>
      <name val="楷体_GB2312"/>
      <family val="3"/>
      <charset val="134"/>
    </font>
    <font>
      <b/>
      <u/>
      <sz val="18"/>
      <name val="Times New Roman"/>
      <family val="1"/>
    </font>
    <font>
      <sz val="12"/>
      <name val="Times New Roman"/>
      <family val="1"/>
    </font>
    <font>
      <sz val="12"/>
      <name val="宋体"/>
      <family val="3"/>
      <charset val="134"/>
    </font>
    <font>
      <b/>
      <sz val="20"/>
      <name val="宋体"/>
      <family val="3"/>
      <charset val="134"/>
    </font>
    <font>
      <b/>
      <sz val="22"/>
      <name val="宋体"/>
      <family val="3"/>
      <charset val="134"/>
    </font>
    <font>
      <b/>
      <sz val="22"/>
      <name val="Times New Roman"/>
      <family val="1"/>
    </font>
    <font>
      <b/>
      <sz val="16"/>
      <name val="Times New Roman"/>
      <family val="1"/>
    </font>
    <font>
      <sz val="11"/>
      <name val="宋体"/>
      <family val="3"/>
      <charset val="134"/>
    </font>
    <font>
      <sz val="11"/>
      <name val="Times New Roman"/>
      <family val="1"/>
    </font>
    <font>
      <sz val="9"/>
      <name val="宋体"/>
      <family val="3"/>
      <charset val="134"/>
    </font>
    <font>
      <b/>
      <sz val="16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2"/>
      <color indexed="26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name val="宋体"/>
      <family val="3"/>
      <charset val="134"/>
    </font>
    <font>
      <sz val="12"/>
      <color rgb="FFFFFF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264">
    <xf numFmtId="0" fontId="0" fillId="0" borderId="0" xfId="0">
      <alignment vertical="center"/>
    </xf>
    <xf numFmtId="176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178" fontId="0" fillId="0" borderId="0" xfId="0" applyNumberFormat="1" applyAlignment="1">
      <alignment horizontal="center" vertical="center"/>
    </xf>
    <xf numFmtId="178" fontId="11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1" fillId="0" borderId="0" xfId="6">
      <alignment vertical="center"/>
    </xf>
    <xf numFmtId="0" fontId="14" fillId="0" borderId="1" xfId="6" applyFont="1" applyBorder="1" applyAlignment="1">
      <alignment horizontal="center" vertical="center"/>
    </xf>
    <xf numFmtId="178" fontId="1" fillId="0" borderId="1" xfId="6" applyNumberFormat="1" applyBorder="1" applyAlignment="1">
      <alignment horizontal="center" vertical="center"/>
    </xf>
    <xf numFmtId="178" fontId="1" fillId="0" borderId="2" xfId="6" applyNumberFormat="1" applyBorder="1" applyAlignment="1">
      <alignment horizontal="center" vertical="center"/>
    </xf>
    <xf numFmtId="177" fontId="1" fillId="0" borderId="2" xfId="6" applyNumberFormat="1" applyBorder="1" applyAlignment="1">
      <alignment horizontal="center" vertical="center"/>
    </xf>
    <xf numFmtId="179" fontId="1" fillId="0" borderId="1" xfId="6" applyNumberFormat="1" applyBorder="1">
      <alignment vertical="center"/>
    </xf>
    <xf numFmtId="0" fontId="1" fillId="0" borderId="1" xfId="6" applyBorder="1">
      <alignment vertical="center"/>
    </xf>
    <xf numFmtId="0" fontId="1" fillId="0" borderId="3" xfId="6" applyBorder="1" applyAlignment="1">
      <alignment horizontal="left" vertical="center"/>
    </xf>
    <xf numFmtId="0" fontId="1" fillId="0" borderId="0" xfId="6" applyAlignment="1">
      <alignment horizontal="left" vertical="center"/>
    </xf>
    <xf numFmtId="179" fontId="1" fillId="0" borderId="0" xfId="6" applyNumberFormat="1">
      <alignment vertical="center"/>
    </xf>
    <xf numFmtId="181" fontId="1" fillId="0" borderId="0" xfId="6" applyNumberFormat="1">
      <alignment vertical="center"/>
    </xf>
    <xf numFmtId="177" fontId="1" fillId="0" borderId="0" xfId="6" applyNumberFormat="1">
      <alignment vertical="center"/>
    </xf>
    <xf numFmtId="178" fontId="1" fillId="0" borderId="0" xfId="6" applyNumberFormat="1">
      <alignment vertical="center"/>
    </xf>
    <xf numFmtId="0" fontId="3" fillId="0" borderId="0" xfId="0" applyFont="1">
      <alignment vertical="center"/>
    </xf>
    <xf numFmtId="177" fontId="8" fillId="0" borderId="1" xfId="0" applyNumberFormat="1" applyFont="1" applyBorder="1" applyAlignment="1">
      <alignment horizontal="center" vertical="center"/>
    </xf>
    <xf numFmtId="177" fontId="15" fillId="0" borderId="1" xfId="0" applyNumberFormat="1" applyFont="1" applyBorder="1" applyAlignment="1">
      <alignment horizontal="center" vertical="center"/>
    </xf>
    <xf numFmtId="181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8" fontId="15" fillId="0" borderId="1" xfId="0" applyNumberFormat="1" applyFont="1" applyBorder="1">
      <alignment vertical="center"/>
    </xf>
    <xf numFmtId="0" fontId="1" fillId="0" borderId="0" xfId="3" applyAlignment="1">
      <alignment vertical="center"/>
    </xf>
    <xf numFmtId="0" fontId="10" fillId="0" borderId="0" xfId="3" applyFont="1" applyAlignment="1">
      <alignment vertical="center"/>
    </xf>
    <xf numFmtId="49" fontId="10" fillId="0" borderId="0" xfId="3" applyNumberFormat="1" applyFont="1" applyAlignment="1">
      <alignment vertical="center"/>
    </xf>
    <xf numFmtId="176" fontId="10" fillId="0" borderId="0" xfId="3" applyNumberFormat="1" applyFont="1" applyAlignment="1">
      <alignment vertical="center"/>
    </xf>
    <xf numFmtId="0" fontId="1" fillId="0" borderId="0" xfId="3"/>
    <xf numFmtId="176" fontId="1" fillId="0" borderId="0" xfId="3" applyNumberFormat="1" applyAlignment="1">
      <alignment vertical="center"/>
    </xf>
    <xf numFmtId="0" fontId="1" fillId="0" borderId="0" xfId="4" applyAlignment="1">
      <alignment horizontal="center" vertical="center"/>
    </xf>
    <xf numFmtId="176" fontId="1" fillId="0" borderId="0" xfId="4" applyNumberFormat="1" applyAlignment="1">
      <alignment horizontal="center" vertical="center"/>
    </xf>
    <xf numFmtId="0" fontId="1" fillId="0" borderId="0" xfId="5"/>
    <xf numFmtId="177" fontId="1" fillId="0" borderId="0" xfId="5" applyNumberFormat="1"/>
    <xf numFmtId="181" fontId="1" fillId="0" borderId="0" xfId="5" applyNumberFormat="1"/>
    <xf numFmtId="0" fontId="15" fillId="0" borderId="0" xfId="5" applyFont="1" applyAlignment="1">
      <alignment vertical="center"/>
    </xf>
    <xf numFmtId="44" fontId="1" fillId="0" borderId="0" xfId="5" applyNumberFormat="1" applyAlignment="1">
      <alignment vertical="center"/>
    </xf>
    <xf numFmtId="44" fontId="15" fillId="0" borderId="0" xfId="5" applyNumberFormat="1" applyFont="1" applyAlignment="1">
      <alignment vertical="center"/>
    </xf>
    <xf numFmtId="0" fontId="15" fillId="0" borderId="0" xfId="5" applyFont="1" applyAlignment="1">
      <alignment horizontal="center" vertical="center" wrapText="1"/>
    </xf>
    <xf numFmtId="0" fontId="11" fillId="0" borderId="0" xfId="5" applyFont="1" applyAlignment="1">
      <alignment horizontal="center" vertical="center"/>
    </xf>
    <xf numFmtId="0" fontId="11" fillId="0" borderId="0" xfId="5" applyFont="1" applyAlignment="1">
      <alignment horizontal="center" vertical="center" wrapText="1"/>
    </xf>
    <xf numFmtId="0" fontId="1" fillId="0" borderId="0" xfId="5" applyAlignment="1">
      <alignment horizontal="center" vertical="center"/>
    </xf>
    <xf numFmtId="183" fontId="1" fillId="0" borderId="0" xfId="5" applyNumberFormat="1"/>
    <xf numFmtId="0" fontId="1" fillId="0" borderId="0" xfId="5" applyAlignment="1">
      <alignment horizontal="center"/>
    </xf>
    <xf numFmtId="0" fontId="20" fillId="0" borderId="0" xfId="5" applyFont="1"/>
    <xf numFmtId="0" fontId="20" fillId="0" borderId="1" xfId="5" applyFont="1" applyBorder="1" applyAlignment="1">
      <alignment horizontal="left" vertical="center"/>
    </xf>
    <xf numFmtId="0" fontId="1" fillId="0" borderId="4" xfId="5" applyBorder="1" applyAlignment="1">
      <alignment horizontal="left" vertical="center"/>
    </xf>
    <xf numFmtId="0" fontId="1" fillId="0" borderId="0" xfId="4"/>
    <xf numFmtId="178" fontId="1" fillId="0" borderId="0" xfId="4" applyNumberFormat="1"/>
    <xf numFmtId="0" fontId="1" fillId="0" borderId="0" xfId="0" applyFont="1">
      <alignment vertical="center"/>
    </xf>
    <xf numFmtId="176" fontId="1" fillId="0" borderId="0" xfId="4" applyNumberFormat="1"/>
    <xf numFmtId="0" fontId="6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 wrapText="1"/>
    </xf>
    <xf numFmtId="0" fontId="19" fillId="0" borderId="0" xfId="5" applyFont="1" applyAlignment="1">
      <alignment vertical="center"/>
    </xf>
    <xf numFmtId="0" fontId="15" fillId="0" borderId="0" xfId="5" applyFont="1" applyAlignment="1">
      <alignment vertical="center" wrapText="1"/>
    </xf>
    <xf numFmtId="177" fontId="1" fillId="0" borderId="0" xfId="4" applyNumberFormat="1" applyAlignment="1">
      <alignment horizontal="right" vertical="center"/>
    </xf>
    <xf numFmtId="178" fontId="1" fillId="0" borderId="0" xfId="4" applyNumberFormat="1" applyAlignment="1">
      <alignment horizontal="right" vertical="center"/>
    </xf>
    <xf numFmtId="180" fontId="1" fillId="0" borderId="0" xfId="4" applyNumberFormat="1" applyAlignment="1">
      <alignment horizontal="right" vertical="center"/>
    </xf>
    <xf numFmtId="0" fontId="2" fillId="0" borderId="0" xfId="0" applyFont="1">
      <alignment vertical="center"/>
    </xf>
    <xf numFmtId="0" fontId="22" fillId="0" borderId="1" xfId="0" applyFont="1" applyBorder="1" applyAlignment="1">
      <alignment horizontal="center" vertical="center"/>
    </xf>
    <xf numFmtId="178" fontId="22" fillId="0" borderId="1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" fillId="0" borderId="5" xfId="5" applyBorder="1" applyAlignment="1">
      <alignment horizontal="center" vertical="center" wrapText="1"/>
    </xf>
    <xf numFmtId="0" fontId="1" fillId="0" borderId="1" xfId="5" applyBorder="1" applyAlignment="1">
      <alignment horizontal="center" vertical="center"/>
    </xf>
    <xf numFmtId="0" fontId="1" fillId="0" borderId="1" xfId="5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84" fontId="10" fillId="0" borderId="1" xfId="5" applyNumberFormat="1" applyFont="1" applyBorder="1" applyAlignment="1">
      <alignment horizontal="right" vertical="center" wrapText="1"/>
    </xf>
    <xf numFmtId="0" fontId="21" fillId="0" borderId="1" xfId="5" applyFont="1" applyBorder="1" applyAlignment="1">
      <alignment horizontal="left" vertical="center"/>
    </xf>
    <xf numFmtId="0" fontId="21" fillId="0" borderId="1" xfId="5" applyFont="1" applyBorder="1" applyAlignment="1">
      <alignment horizontal="center" vertical="center"/>
    </xf>
    <xf numFmtId="184" fontId="10" fillId="0" borderId="1" xfId="5" applyNumberFormat="1" applyFont="1" applyBorder="1" applyAlignment="1">
      <alignment horizontal="center" vertical="center" wrapText="1"/>
    </xf>
    <xf numFmtId="178" fontId="11" fillId="0" borderId="0" xfId="0" applyNumberFormat="1" applyFont="1" applyAlignment="1">
      <alignment horizontal="center" vertical="center" wrapText="1"/>
    </xf>
    <xf numFmtId="177" fontId="0" fillId="0" borderId="0" xfId="0" applyNumberFormat="1" applyAlignment="1">
      <alignment vertical="center" shrinkToFit="1"/>
    </xf>
    <xf numFmtId="177" fontId="0" fillId="0" borderId="1" xfId="0" applyNumberFormat="1" applyBorder="1" applyAlignment="1">
      <alignment vertical="center" shrinkToFit="1"/>
    </xf>
    <xf numFmtId="176" fontId="1" fillId="0" borderId="0" xfId="4" applyNumberFormat="1" applyAlignment="1">
      <alignment horizontal="center" vertical="center" shrinkToFit="1"/>
    </xf>
    <xf numFmtId="18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177" fontId="0" fillId="0" borderId="1" xfId="0" applyNumberFormat="1" applyBorder="1" applyAlignment="1">
      <alignment horizontal="center" vertical="center"/>
    </xf>
    <xf numFmtId="184" fontId="1" fillId="0" borderId="1" xfId="5" applyNumberFormat="1" applyBorder="1" applyAlignment="1">
      <alignment horizontal="right" vertical="center" wrapText="1"/>
    </xf>
    <xf numFmtId="184" fontId="1" fillId="0" borderId="1" xfId="5" applyNumberFormat="1" applyBorder="1" applyAlignment="1">
      <alignment horizontal="center" vertical="center" wrapText="1"/>
    </xf>
    <xf numFmtId="180" fontId="1" fillId="0" borderId="0" xfId="6" applyNumberFormat="1">
      <alignment vertical="center"/>
    </xf>
    <xf numFmtId="177" fontId="1" fillId="0" borderId="0" xfId="0" applyNumberFormat="1" applyFont="1" applyAlignment="1">
      <alignment horizontal="right" vertical="center" shrinkToFit="1"/>
    </xf>
    <xf numFmtId="176" fontId="1" fillId="0" borderId="0" xfId="4" applyNumberFormat="1" applyAlignment="1">
      <alignment shrinkToFit="1"/>
    </xf>
    <xf numFmtId="177" fontId="0" fillId="0" borderId="0" xfId="0" applyNumberFormat="1" applyAlignment="1">
      <alignment horizontal="right" vertical="center" shrinkToFit="1"/>
    </xf>
    <xf numFmtId="180" fontId="1" fillId="0" borderId="0" xfId="5" applyNumberFormat="1"/>
    <xf numFmtId="0" fontId="1" fillId="0" borderId="0" xfId="6" applyAlignment="1">
      <alignment horizontal="right" vertical="center"/>
    </xf>
    <xf numFmtId="181" fontId="0" fillId="0" borderId="0" xfId="0" applyNumberFormat="1">
      <alignment vertical="center"/>
    </xf>
    <xf numFmtId="181" fontId="1" fillId="0" borderId="0" xfId="4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 shrinkToFit="1"/>
    </xf>
    <xf numFmtId="177" fontId="26" fillId="0" borderId="0" xfId="5" applyNumberFormat="1" applyFont="1" applyAlignment="1">
      <alignment vertical="center" wrapText="1"/>
    </xf>
    <xf numFmtId="179" fontId="0" fillId="0" borderId="0" xfId="0" applyNumberFormat="1">
      <alignment vertical="center"/>
    </xf>
    <xf numFmtId="179" fontId="1" fillId="0" borderId="0" xfId="0" applyNumberFormat="1" applyFont="1">
      <alignment vertical="center"/>
    </xf>
    <xf numFmtId="178" fontId="10" fillId="0" borderId="0" xfId="3" applyNumberFormat="1" applyFont="1" applyAlignment="1">
      <alignment vertical="center"/>
    </xf>
    <xf numFmtId="178" fontId="1" fillId="0" borderId="0" xfId="3" applyNumberFormat="1"/>
    <xf numFmtId="181" fontId="1" fillId="0" borderId="0" xfId="3" applyNumberFormat="1"/>
    <xf numFmtId="43" fontId="0" fillId="0" borderId="0" xfId="7" applyFont="1">
      <alignment vertical="center"/>
    </xf>
    <xf numFmtId="43" fontId="1" fillId="0" borderId="0" xfId="7" applyFont="1" applyBorder="1" applyAlignment="1">
      <alignment horizontal="center" vertical="center"/>
    </xf>
    <xf numFmtId="43" fontId="1" fillId="0" borderId="0" xfId="7" applyFont="1" applyBorder="1" applyAlignment="1">
      <alignment horizontal="center" vertical="center" shrinkToFit="1"/>
    </xf>
    <xf numFmtId="43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  <xf numFmtId="43" fontId="1" fillId="2" borderId="0" xfId="7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vertical="center" shrinkToFit="1"/>
    </xf>
    <xf numFmtId="178" fontId="1" fillId="0" borderId="3" xfId="0" applyNumberFormat="1" applyFont="1" applyBorder="1" applyAlignment="1">
      <alignment vertical="center" wrapText="1"/>
    </xf>
    <xf numFmtId="178" fontId="0" fillId="0" borderId="3" xfId="0" applyNumberFormat="1" applyBorder="1" applyAlignment="1">
      <alignment vertical="center" wrapText="1"/>
    </xf>
    <xf numFmtId="178" fontId="0" fillId="0" borderId="0" xfId="0" applyNumberFormat="1" applyAlignment="1">
      <alignment vertical="center" wrapText="1"/>
    </xf>
    <xf numFmtId="178" fontId="2" fillId="0" borderId="3" xfId="0" applyNumberFormat="1" applyFont="1" applyBorder="1" applyAlignment="1">
      <alignment vertical="center" wrapText="1"/>
    </xf>
    <xf numFmtId="0" fontId="1" fillId="0" borderId="3" xfId="5" applyBorder="1" applyAlignment="1">
      <alignment vertical="center"/>
    </xf>
    <xf numFmtId="182" fontId="27" fillId="0" borderId="1" xfId="3" applyNumberFormat="1" applyFont="1" applyBorder="1" applyAlignment="1">
      <alignment horizontal="right" vertical="center"/>
    </xf>
    <xf numFmtId="43" fontId="27" fillId="0" borderId="1" xfId="3" applyNumberFormat="1" applyFont="1" applyBorder="1" applyAlignment="1">
      <alignment horizontal="right" vertical="center"/>
    </xf>
    <xf numFmtId="179" fontId="27" fillId="0" borderId="1" xfId="3" applyNumberFormat="1" applyFont="1" applyBorder="1" applyAlignment="1">
      <alignment horizontal="right" vertical="center"/>
    </xf>
    <xf numFmtId="178" fontId="27" fillId="0" borderId="1" xfId="3" applyNumberFormat="1" applyFont="1" applyBorder="1" applyAlignment="1">
      <alignment horizontal="right" vertical="center"/>
    </xf>
    <xf numFmtId="0" fontId="1" fillId="0" borderId="3" xfId="3" applyBorder="1" applyAlignment="1">
      <alignment vertical="center"/>
    </xf>
    <xf numFmtId="43" fontId="1" fillId="0" borderId="0" xfId="7">
      <alignment vertical="center"/>
    </xf>
    <xf numFmtId="43" fontId="1" fillId="0" borderId="0" xfId="7" applyFont="1">
      <alignment vertical="center"/>
    </xf>
    <xf numFmtId="185" fontId="0" fillId="0" borderId="0" xfId="7" applyNumberFormat="1" applyFont="1">
      <alignment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right" vertical="center"/>
    </xf>
    <xf numFmtId="49" fontId="0" fillId="0" borderId="0" xfId="0" applyNumberFormat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0" xfId="6" applyFont="1">
      <alignment vertical="center"/>
    </xf>
    <xf numFmtId="177" fontId="0" fillId="0" borderId="0" xfId="0" applyNumberFormat="1" applyAlignment="1">
      <alignment horizontal="left" vertical="center"/>
    </xf>
    <xf numFmtId="178" fontId="0" fillId="0" borderId="0" xfId="0" applyNumberFormat="1" applyAlignment="1">
      <alignment horizontal="right" vertical="center"/>
    </xf>
    <xf numFmtId="186" fontId="0" fillId="0" borderId="0" xfId="0" applyNumberFormat="1">
      <alignment vertical="center"/>
    </xf>
    <xf numFmtId="186" fontId="33" fillId="0" borderId="0" xfId="0" applyNumberFormat="1" applyFont="1">
      <alignment vertical="center"/>
    </xf>
    <xf numFmtId="186" fontId="0" fillId="0" borderId="0" xfId="0" applyNumberFormat="1" applyAlignment="1">
      <alignment horizontal="right" vertical="center"/>
    </xf>
    <xf numFmtId="43" fontId="2" fillId="0" borderId="0" xfId="0" applyNumberFormat="1" applyFont="1">
      <alignment vertical="center"/>
    </xf>
    <xf numFmtId="0" fontId="6" fillId="0" borderId="1" xfId="6" applyFont="1" applyBorder="1" applyAlignment="1">
      <alignment horizontal="center" vertical="center"/>
    </xf>
    <xf numFmtId="0" fontId="6" fillId="0" borderId="6" xfId="6" applyFont="1" applyBorder="1" applyAlignment="1">
      <alignment horizontal="center" vertical="center"/>
    </xf>
    <xf numFmtId="0" fontId="6" fillId="0" borderId="7" xfId="6" applyFont="1" applyBorder="1" applyAlignment="1">
      <alignment horizontal="center" vertical="center"/>
    </xf>
    <xf numFmtId="43" fontId="10" fillId="0" borderId="0" xfId="7" applyFont="1">
      <alignment vertical="center"/>
    </xf>
    <xf numFmtId="1" fontId="1" fillId="0" borderId="0" xfId="5" applyNumberFormat="1"/>
    <xf numFmtId="43" fontId="0" fillId="2" borderId="0" xfId="0" applyNumberFormat="1" applyFill="1">
      <alignment vertical="center"/>
    </xf>
    <xf numFmtId="188" fontId="1" fillId="0" borderId="0" xfId="6" applyNumberFormat="1">
      <alignment vertical="center"/>
    </xf>
    <xf numFmtId="0" fontId="35" fillId="0" borderId="0" xfId="0" applyFont="1" applyAlignment="1">
      <alignment horizontal="left" vertical="center"/>
    </xf>
    <xf numFmtId="43" fontId="35" fillId="0" borderId="0" xfId="7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/>
    </xf>
    <xf numFmtId="184" fontId="2" fillId="0" borderId="0" xfId="0" applyNumberFormat="1" applyFont="1">
      <alignment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1" fillId="0" borderId="0" xfId="5" applyNumberFormat="1"/>
    <xf numFmtId="43" fontId="1" fillId="0" borderId="0" xfId="4" applyNumberFormat="1" applyAlignment="1">
      <alignment horizontal="center" vertical="center"/>
    </xf>
    <xf numFmtId="2" fontId="0" fillId="0" borderId="0" xfId="0" applyNumberFormat="1">
      <alignment vertical="center"/>
    </xf>
    <xf numFmtId="176" fontId="0" fillId="2" borderId="1" xfId="0" applyNumberFormat="1" applyFill="1" applyBorder="1">
      <alignment vertical="center"/>
    </xf>
    <xf numFmtId="0" fontId="39" fillId="0" borderId="1" xfId="2" applyFont="1" applyBorder="1" applyAlignment="1">
      <alignment horizontal="center" vertical="center"/>
    </xf>
    <xf numFmtId="0" fontId="37" fillId="0" borderId="1" xfId="2" applyBorder="1" applyAlignment="1">
      <alignment horizontal="center" vertical="center"/>
    </xf>
    <xf numFmtId="0" fontId="37" fillId="0" borderId="1" xfId="2" applyBorder="1" applyAlignment="1">
      <alignment vertical="center"/>
    </xf>
    <xf numFmtId="180" fontId="37" fillId="0" borderId="1" xfId="2" applyNumberFormat="1" applyBorder="1" applyAlignment="1">
      <alignment vertical="center"/>
    </xf>
    <xf numFmtId="177" fontId="37" fillId="0" borderId="1" xfId="2" applyNumberFormat="1" applyBorder="1" applyAlignment="1">
      <alignment vertical="center"/>
    </xf>
    <xf numFmtId="0" fontId="37" fillId="0" borderId="0" xfId="2"/>
    <xf numFmtId="177" fontId="37" fillId="0" borderId="0" xfId="2" applyNumberFormat="1"/>
    <xf numFmtId="180" fontId="37" fillId="0" borderId="0" xfId="2" applyNumberFormat="1" applyAlignment="1">
      <alignment vertical="center"/>
    </xf>
    <xf numFmtId="0" fontId="37" fillId="0" borderId="0" xfId="0" applyFont="1">
      <alignment vertical="center"/>
    </xf>
    <xf numFmtId="0" fontId="40" fillId="0" borderId="1" xfId="3" applyFont="1" applyBorder="1" applyAlignment="1">
      <alignment horizontal="center" vertical="center"/>
    </xf>
    <xf numFmtId="188" fontId="10" fillId="0" borderId="0" xfId="3" applyNumberFormat="1" applyFont="1" applyAlignment="1">
      <alignment vertical="center"/>
    </xf>
    <xf numFmtId="2" fontId="2" fillId="0" borderId="0" xfId="0" applyNumberFormat="1" applyFont="1">
      <alignment vertical="center"/>
    </xf>
    <xf numFmtId="1" fontId="2" fillId="0" borderId="0" xfId="0" applyNumberFormat="1" applyFont="1">
      <alignment vertical="center"/>
    </xf>
    <xf numFmtId="183" fontId="0" fillId="0" borderId="0" xfId="0" applyNumberFormat="1">
      <alignment vertical="center"/>
    </xf>
    <xf numFmtId="1" fontId="0" fillId="0" borderId="0" xfId="0" applyNumberFormat="1">
      <alignment vertical="center"/>
    </xf>
    <xf numFmtId="178" fontId="1" fillId="0" borderId="0" xfId="0" applyNumberFormat="1" applyFont="1" applyAlignment="1">
      <alignment horizontal="center" vertical="center"/>
    </xf>
    <xf numFmtId="0" fontId="41" fillId="0" borderId="0" xfId="0" applyFont="1">
      <alignment vertical="center"/>
    </xf>
    <xf numFmtId="0" fontId="42" fillId="0" borderId="0" xfId="3" applyFont="1" applyAlignment="1">
      <alignment vertical="center"/>
    </xf>
    <xf numFmtId="43" fontId="10" fillId="0" borderId="0" xfId="7" applyFont="1" applyAlignment="1">
      <alignment vertical="center"/>
    </xf>
    <xf numFmtId="0" fontId="6" fillId="0" borderId="0" xfId="3" applyFont="1" applyAlignment="1">
      <alignment horizontal="center" vertical="center"/>
    </xf>
    <xf numFmtId="178" fontId="1" fillId="0" borderId="0" xfId="0" applyNumberFormat="1" applyFont="1" applyAlignment="1">
      <alignment horizontal="left" vertical="center"/>
    </xf>
    <xf numFmtId="0" fontId="10" fillId="0" borderId="0" xfId="7" applyNumberFormat="1" applyFont="1" applyAlignment="1">
      <alignment vertical="center"/>
    </xf>
    <xf numFmtId="0" fontId="43" fillId="0" borderId="0" xfId="0" applyFont="1" applyAlignment="1">
      <alignment horizontal="right" vertical="center"/>
    </xf>
    <xf numFmtId="179" fontId="0" fillId="0" borderId="0" xfId="0" applyNumberFormat="1" applyAlignment="1">
      <alignment horizontal="center" vertical="center"/>
    </xf>
    <xf numFmtId="0" fontId="44" fillId="0" borderId="0" xfId="5" applyFont="1"/>
    <xf numFmtId="176" fontId="1" fillId="0" borderId="0" xfId="3" applyNumberFormat="1"/>
    <xf numFmtId="43" fontId="0" fillId="0" borderId="0" xfId="0" applyNumberFormat="1" applyAlignment="1">
      <alignment horizontal="right" vertical="center"/>
    </xf>
    <xf numFmtId="189" fontId="0" fillId="0" borderId="0" xfId="0" applyNumberFormat="1">
      <alignment vertical="center"/>
    </xf>
    <xf numFmtId="179" fontId="0" fillId="0" borderId="0" xfId="0" applyNumberFormat="1" applyAlignment="1">
      <alignment horizontal="right" vertical="center"/>
    </xf>
    <xf numFmtId="0" fontId="45" fillId="0" borderId="0" xfId="0" applyFont="1" applyAlignment="1">
      <alignment horizontal="center" vertical="center"/>
    </xf>
    <xf numFmtId="0" fontId="46" fillId="0" borderId="0" xfId="0" applyFont="1">
      <alignment vertical="center"/>
    </xf>
    <xf numFmtId="0" fontId="47" fillId="0" borderId="0" xfId="0" applyFont="1">
      <alignment vertical="center"/>
    </xf>
    <xf numFmtId="177" fontId="47" fillId="0" borderId="1" xfId="0" applyNumberFormat="1" applyFont="1" applyBorder="1" applyAlignment="1">
      <alignment vertical="center" shrinkToFit="1"/>
    </xf>
    <xf numFmtId="177" fontId="48" fillId="0" borderId="1" xfId="0" applyNumberFormat="1" applyFont="1" applyBorder="1" applyAlignment="1">
      <alignment vertical="center" shrinkToFit="1"/>
    </xf>
    <xf numFmtId="178" fontId="51" fillId="0" borderId="0" xfId="0" applyNumberFormat="1" applyFont="1" applyAlignment="1">
      <alignment horizontal="center" vertical="center"/>
    </xf>
    <xf numFmtId="179" fontId="51" fillId="0" borderId="0" xfId="0" applyNumberFormat="1" applyFont="1" applyAlignment="1">
      <alignment horizontal="right" vertical="center"/>
    </xf>
    <xf numFmtId="178" fontId="51" fillId="0" borderId="0" xfId="0" applyNumberFormat="1" applyFont="1" applyAlignment="1">
      <alignment horizontal="right" vertical="center"/>
    </xf>
    <xf numFmtId="178" fontId="51" fillId="0" borderId="0" xfId="0" applyNumberFormat="1" applyFont="1" applyAlignment="1">
      <alignment horizontal="left" vertical="center"/>
    </xf>
    <xf numFmtId="179" fontId="51" fillId="0" borderId="0" xfId="0" applyNumberFormat="1" applyFont="1">
      <alignment vertical="center"/>
    </xf>
    <xf numFmtId="178" fontId="51" fillId="0" borderId="0" xfId="0" applyNumberFormat="1" applyFont="1">
      <alignment vertical="center"/>
    </xf>
    <xf numFmtId="178" fontId="0" fillId="0" borderId="0" xfId="0" applyNumberFormat="1" applyAlignment="1">
      <alignment horizontal="left" vertical="center"/>
    </xf>
    <xf numFmtId="190" fontId="0" fillId="0" borderId="0" xfId="0" applyNumberFormat="1">
      <alignment vertical="center"/>
    </xf>
    <xf numFmtId="178" fontId="1" fillId="0" borderId="0" xfId="0" applyNumberFormat="1" applyFont="1">
      <alignment vertical="center"/>
    </xf>
    <xf numFmtId="178" fontId="49" fillId="0" borderId="1" xfId="0" applyNumberFormat="1" applyFont="1" applyBorder="1" applyAlignment="1">
      <alignment horizontal="center" vertical="center"/>
    </xf>
    <xf numFmtId="179" fontId="49" fillId="0" borderId="1" xfId="0" applyNumberFormat="1" applyFont="1" applyBorder="1" applyAlignment="1">
      <alignment horizontal="right" vertical="center"/>
    </xf>
    <xf numFmtId="178" fontId="49" fillId="0" borderId="1" xfId="0" applyNumberFormat="1" applyFont="1" applyBorder="1" applyAlignment="1">
      <alignment horizontal="right" vertical="center"/>
    </xf>
    <xf numFmtId="178" fontId="49" fillId="0" borderId="1" xfId="0" applyNumberFormat="1" applyFont="1" applyBorder="1" applyAlignment="1">
      <alignment horizontal="right" vertical="center" shrinkToFit="1"/>
    </xf>
    <xf numFmtId="178" fontId="49" fillId="0" borderId="1" xfId="0" applyNumberFormat="1" applyFont="1" applyBorder="1" applyAlignment="1">
      <alignment horizontal="center" vertical="center" wrapText="1"/>
    </xf>
    <xf numFmtId="178" fontId="50" fillId="0" borderId="1" xfId="0" applyNumberFormat="1" applyFont="1" applyBorder="1" applyAlignment="1">
      <alignment horizontal="left" vertical="center" wrapText="1" shrinkToFit="1"/>
    </xf>
    <xf numFmtId="179" fontId="49" fillId="0" borderId="1" xfId="0" applyNumberFormat="1" applyFont="1" applyBorder="1" applyAlignment="1">
      <alignment horizontal="center" vertical="center"/>
    </xf>
    <xf numFmtId="178" fontId="50" fillId="0" borderId="1" xfId="0" applyNumberFormat="1" applyFont="1" applyBorder="1" applyAlignment="1">
      <alignment horizontal="center" vertical="center" wrapText="1"/>
    </xf>
    <xf numFmtId="178" fontId="50" fillId="0" borderId="1" xfId="0" applyNumberFormat="1" applyFont="1" applyBorder="1" applyAlignment="1">
      <alignment horizontal="center" vertical="center"/>
    </xf>
    <xf numFmtId="0" fontId="49" fillId="0" borderId="0" xfId="0" applyFont="1">
      <alignment vertical="center"/>
    </xf>
    <xf numFmtId="178" fontId="1" fillId="0" borderId="1" xfId="0" applyNumberFormat="1" applyFont="1" applyBorder="1" applyAlignment="1">
      <alignment horizontal="center" vertical="center"/>
    </xf>
    <xf numFmtId="188" fontId="0" fillId="0" borderId="0" xfId="0" applyNumberFormat="1">
      <alignment vertical="center"/>
    </xf>
    <xf numFmtId="178" fontId="1" fillId="0" borderId="1" xfId="0" applyNumberFormat="1" applyFont="1" applyBorder="1" applyAlignment="1">
      <alignment horizontal="center" vertical="center" wrapText="1"/>
    </xf>
    <xf numFmtId="0" fontId="0" fillId="2" borderId="0" xfId="0" applyFill="1">
      <alignment vertical="center"/>
    </xf>
    <xf numFmtId="178" fontId="0" fillId="2" borderId="0" xfId="0" applyNumberFormat="1" applyFill="1">
      <alignment vertical="center"/>
    </xf>
    <xf numFmtId="14" fontId="0" fillId="0" borderId="0" xfId="0" applyNumberFormat="1">
      <alignment vertical="center"/>
    </xf>
    <xf numFmtId="0" fontId="52" fillId="0" borderId="0" xfId="0" applyFont="1">
      <alignment vertical="center"/>
    </xf>
    <xf numFmtId="178" fontId="21" fillId="0" borderId="1" xfId="0" applyNumberFormat="1" applyFont="1" applyBorder="1" applyAlignment="1">
      <alignment horizontal="center" vertical="center"/>
    </xf>
    <xf numFmtId="179" fontId="53" fillId="0" borderId="1" xfId="6" applyNumberFormat="1" applyFont="1" applyBorder="1">
      <alignment vertical="center"/>
    </xf>
    <xf numFmtId="0" fontId="1" fillId="0" borderId="0" xfId="0" applyFont="1" applyAlignment="1">
      <alignment horizontal="right" vertical="center"/>
    </xf>
    <xf numFmtId="178" fontId="1" fillId="2" borderId="0" xfId="0" applyNumberFormat="1" applyFont="1" applyFill="1">
      <alignment vertical="center"/>
    </xf>
    <xf numFmtId="178" fontId="49" fillId="2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6" fillId="0" borderId="1" xfId="3" applyFont="1" applyBorder="1" applyAlignment="1">
      <alignment horizontal="center" vertical="center" shrinkToFit="1"/>
    </xf>
    <xf numFmtId="14" fontId="1" fillId="0" borderId="0" xfId="0" applyNumberFormat="1" applyFont="1">
      <alignment vertical="center"/>
    </xf>
    <xf numFmtId="2" fontId="37" fillId="0" borderId="1" xfId="2" applyNumberFormat="1" applyBorder="1" applyAlignment="1">
      <alignment vertical="center"/>
    </xf>
    <xf numFmtId="4" fontId="10" fillId="0" borderId="0" xfId="7" applyNumberFormat="1" applyFont="1" applyAlignment="1">
      <alignment vertical="center"/>
    </xf>
    <xf numFmtId="2" fontId="10" fillId="0" borderId="0" xfId="3" applyNumberFormat="1" applyFont="1" applyAlignment="1">
      <alignment vertical="center"/>
    </xf>
    <xf numFmtId="4" fontId="0" fillId="0" borderId="0" xfId="0" applyNumberFormat="1">
      <alignment vertical="center"/>
    </xf>
    <xf numFmtId="191" fontId="1" fillId="0" borderId="0" xfId="1" applyNumberFormat="1">
      <alignment vertical="center"/>
    </xf>
    <xf numFmtId="49" fontId="10" fillId="0" borderId="0" xfId="3" applyNumberFormat="1" applyFont="1" applyAlignment="1">
      <alignment horizontal="left" vertical="center" wrapText="1"/>
    </xf>
    <xf numFmtId="2" fontId="27" fillId="0" borderId="1" xfId="3" applyNumberFormat="1" applyFont="1" applyBorder="1" applyAlignment="1">
      <alignment horizontal="right" vertical="center"/>
    </xf>
    <xf numFmtId="10" fontId="0" fillId="0" borderId="0" xfId="1" applyNumberFormat="1" applyFont="1">
      <alignment vertical="center"/>
    </xf>
    <xf numFmtId="192" fontId="0" fillId="0" borderId="0" xfId="0" applyNumberFormat="1" applyAlignment="1">
      <alignment vertical="center" shrinkToFit="1"/>
    </xf>
    <xf numFmtId="193" fontId="0" fillId="0" borderId="0" xfId="0" applyNumberFormat="1">
      <alignment vertical="center"/>
    </xf>
    <xf numFmtId="187" fontId="1" fillId="0" borderId="0" xfId="0" applyNumberFormat="1" applyFont="1" applyAlignment="1">
      <alignment horizontal="right" vertical="center"/>
    </xf>
    <xf numFmtId="0" fontId="1" fillId="0" borderId="8" xfId="3" applyBorder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6" fillId="0" borderId="5" xfId="3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1" fillId="0" borderId="8" xfId="5" applyBorder="1" applyAlignment="1">
      <alignment horizontal="left" vertical="center"/>
    </xf>
    <xf numFmtId="0" fontId="18" fillId="0" borderId="0" xfId="5" applyFont="1" applyAlignment="1">
      <alignment horizontal="center" vertical="center"/>
    </xf>
    <xf numFmtId="178" fontId="49" fillId="0" borderId="1" xfId="0" applyNumberFormat="1" applyFont="1" applyBorder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178" fontId="1" fillId="0" borderId="8" xfId="0" applyNumberFormat="1" applyFont="1" applyBorder="1" applyAlignment="1">
      <alignment horizontal="left" vertical="center"/>
    </xf>
    <xf numFmtId="178" fontId="0" fillId="0" borderId="8" xfId="0" applyNumberForma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" fillId="0" borderId="8" xfId="6" applyBorder="1" applyAlignment="1">
      <alignment horizontal="left" vertical="center"/>
    </xf>
    <xf numFmtId="0" fontId="13" fillId="0" borderId="0" xfId="6" applyFont="1" applyAlignment="1">
      <alignment horizontal="center" vertical="center"/>
    </xf>
    <xf numFmtId="0" fontId="12" fillId="0" borderId="0" xfId="6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7" fillId="0" borderId="0" xfId="2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8">
    <cellStyle name="百分比" xfId="1" builtinId="5"/>
    <cellStyle name="常规" xfId="0" builtinId="0"/>
    <cellStyle name="常规 2" xfId="2" xr:uid="{A3A7CB1F-6682-424D-A78B-8D2DE2BE0CA8}"/>
    <cellStyle name="常规_Sheet1" xfId="3" xr:uid="{04D32A42-C5FC-4713-A275-995B6796BD20}"/>
    <cellStyle name="常规_测算表" xfId="4" xr:uid="{A4F43908-050A-450B-8848-2ED4A8BCA3BC}"/>
    <cellStyle name="常规_产成品" xfId="5" xr:uid="{68F0CFF5-0EAB-436E-8E40-3B186D593468}"/>
    <cellStyle name="常规_原材料进销存月结表" xfId="6" xr:uid="{847B06D6-F30F-4F83-B5C7-AD0313B30D25}"/>
    <cellStyle name="千位分隔" xfId="7" builtinId="3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BC07-D47E-4767-970A-E70651BE3574}">
  <sheetPr>
    <pageSetUpPr fitToPage="1"/>
  </sheetPr>
  <dimension ref="A1:AA79"/>
  <sheetViews>
    <sheetView tabSelected="1" zoomScaleNormal="100" workbookViewId="0">
      <selection activeCell="G10" sqref="G10"/>
    </sheetView>
  </sheetViews>
  <sheetFormatPr defaultRowHeight="15.6" x14ac:dyDescent="0.25"/>
  <cols>
    <col min="1" max="1" width="19.59765625" bestFit="1" customWidth="1"/>
    <col min="2" max="2" width="8.796875" bestFit="1" customWidth="1"/>
    <col min="3" max="4" width="9.69921875" bestFit="1" customWidth="1"/>
    <col min="5" max="5" width="11.5" bestFit="1" customWidth="1"/>
    <col min="6" max="6" width="10.69921875" bestFit="1" customWidth="1"/>
    <col min="7" max="7" width="11.3984375" bestFit="1" customWidth="1"/>
    <col min="8" max="8" width="10.69921875" bestFit="1" customWidth="1"/>
    <col min="9" max="9" width="6.09765625" bestFit="1" customWidth="1"/>
    <col min="10" max="10" width="10.69921875" bestFit="1" customWidth="1"/>
    <col min="11" max="11" width="8.796875" bestFit="1" customWidth="1"/>
    <col min="12" max="12" width="9.69921875" bestFit="1" customWidth="1"/>
    <col min="14" max="14" width="13.19921875" bestFit="1" customWidth="1"/>
    <col min="15" max="15" width="10.5" bestFit="1" customWidth="1"/>
    <col min="17" max="17" width="4.3984375" bestFit="1" customWidth="1"/>
    <col min="18" max="18" width="15.09765625" bestFit="1" customWidth="1"/>
    <col min="19" max="19" width="12.69921875" bestFit="1" customWidth="1"/>
    <col min="20" max="20" width="13.8984375" bestFit="1" customWidth="1"/>
    <col min="21" max="21" width="11.59765625" bestFit="1" customWidth="1"/>
    <col min="22" max="22" width="13.8984375" bestFit="1" customWidth="1"/>
  </cols>
  <sheetData>
    <row r="1" spans="1:27" ht="55.5" customHeight="1" x14ac:dyDescent="0.25">
      <c r="A1" s="237" t="s">
        <v>68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33.75" customHeight="1" x14ac:dyDescent="0.25">
      <c r="A2" s="236" t="s">
        <v>299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spans="1:27" ht="33" customHeight="1" x14ac:dyDescent="0.25">
      <c r="A3" s="238" t="s">
        <v>57</v>
      </c>
      <c r="B3" s="239" t="s">
        <v>58</v>
      </c>
      <c r="C3" s="239"/>
      <c r="D3" s="239" t="s">
        <v>64</v>
      </c>
      <c r="E3" s="239"/>
      <c r="F3" s="240" t="s">
        <v>72</v>
      </c>
      <c r="G3" s="241"/>
      <c r="H3" s="239" t="s">
        <v>65</v>
      </c>
      <c r="I3" s="239"/>
      <c r="J3" s="239"/>
      <c r="K3" s="239" t="s">
        <v>59</v>
      </c>
      <c r="L3" s="239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 spans="1:27" ht="33" customHeight="1" x14ac:dyDescent="0.25">
      <c r="A4" s="238"/>
      <c r="B4" s="59" t="s">
        <v>60</v>
      </c>
      <c r="C4" s="59" t="s">
        <v>61</v>
      </c>
      <c r="D4" s="59" t="s">
        <v>60</v>
      </c>
      <c r="E4" s="59" t="s">
        <v>61</v>
      </c>
      <c r="F4" s="59" t="s">
        <v>60</v>
      </c>
      <c r="G4" s="59" t="s">
        <v>61</v>
      </c>
      <c r="H4" s="59" t="s">
        <v>60</v>
      </c>
      <c r="I4" s="59" t="s">
        <v>66</v>
      </c>
      <c r="J4" s="59" t="s">
        <v>61</v>
      </c>
      <c r="K4" s="59" t="s">
        <v>60</v>
      </c>
      <c r="L4" s="59" t="s">
        <v>61</v>
      </c>
      <c r="M4" s="33"/>
      <c r="N4" s="176" t="s">
        <v>181</v>
      </c>
      <c r="P4" s="33"/>
      <c r="Q4" s="33"/>
      <c r="R4" s="174" t="s">
        <v>185</v>
      </c>
      <c r="S4" s="174" t="s">
        <v>27</v>
      </c>
      <c r="T4" s="174" t="s">
        <v>29</v>
      </c>
      <c r="U4" s="33" t="s">
        <v>213</v>
      </c>
      <c r="V4" s="174" t="s">
        <v>2</v>
      </c>
      <c r="W4" s="33"/>
      <c r="X4" s="33"/>
      <c r="Y4" s="33"/>
      <c r="Z4" s="33"/>
      <c r="AA4" s="33"/>
    </row>
    <row r="5" spans="1:27" ht="39.75" customHeight="1" x14ac:dyDescent="0.25">
      <c r="A5" s="60" t="s">
        <v>212</v>
      </c>
      <c r="B5" s="118">
        <v>80175.76999999999</v>
      </c>
      <c r="C5" s="121">
        <v>575550.94999999995</v>
      </c>
      <c r="D5" s="121">
        <v>80175.77</v>
      </c>
      <c r="E5" s="121">
        <v>617291.35000000009</v>
      </c>
      <c r="F5" s="120">
        <f>S5</f>
        <v>58351.29</v>
      </c>
      <c r="G5" s="231">
        <f>E5/D5*D5*测算表!$G$25*0+V5</f>
        <v>394823.7808248825</v>
      </c>
      <c r="H5" s="120">
        <f>D5</f>
        <v>80175.77</v>
      </c>
      <c r="I5" s="121">
        <f>(C5+G5)/(B5+F5)</f>
        <v>7.0049471260335885</v>
      </c>
      <c r="J5" s="121">
        <f>H5*I5</f>
        <v>561627.02963902999</v>
      </c>
      <c r="K5" s="121">
        <f>B5+F5-H5</f>
        <v>58351.289999999994</v>
      </c>
      <c r="L5" s="121">
        <f>C5+G5-J5</f>
        <v>408747.70118585241</v>
      </c>
      <c r="M5" s="34"/>
      <c r="N5" s="167">
        <f>E6/D6</f>
        <v>5.6560248447204975</v>
      </c>
      <c r="O5" s="33"/>
      <c r="P5" s="33"/>
      <c r="Q5" s="33"/>
      <c r="R5" s="33" t="s">
        <v>212</v>
      </c>
      <c r="S5" s="226">
        <v>58351.29</v>
      </c>
      <c r="T5" s="226">
        <v>421616.79</v>
      </c>
      <c r="U5" s="230" t="s">
        <v>300</v>
      </c>
      <c r="V5" s="175">
        <f>T5*测算表!$G$25</f>
        <v>394823.7808248825</v>
      </c>
      <c r="W5" s="33"/>
      <c r="X5" s="33"/>
      <c r="Y5" s="33"/>
      <c r="Z5" s="33"/>
      <c r="AA5" s="33"/>
    </row>
    <row r="6" spans="1:27" ht="39.75" customHeight="1" x14ac:dyDescent="0.25">
      <c r="A6" s="166" t="s">
        <v>301</v>
      </c>
      <c r="B6" s="118"/>
      <c r="C6" s="119"/>
      <c r="D6" s="121">
        <v>966</v>
      </c>
      <c r="E6" s="121">
        <v>5463.72</v>
      </c>
      <c r="F6" s="120">
        <f>D6-B6</f>
        <v>966</v>
      </c>
      <c r="G6" s="121">
        <f>E6/D6*F6*测算表!$G$25</f>
        <v>5116.51015551</v>
      </c>
      <c r="H6" s="120">
        <f>D6</f>
        <v>966</v>
      </c>
      <c r="I6" s="121">
        <f>(C6+G6)/(B6+F6)</f>
        <v>5.2965943638819875</v>
      </c>
      <c r="J6" s="121">
        <f>H6*I6</f>
        <v>5116.51015551</v>
      </c>
      <c r="K6" s="121">
        <f>B6+F6-H6</f>
        <v>0</v>
      </c>
      <c r="L6" s="121">
        <f>C6+G6-J6</f>
        <v>0</v>
      </c>
      <c r="M6" s="34"/>
      <c r="N6" s="167">
        <f>E7/D7</f>
        <v>3.7525203426124198</v>
      </c>
      <c r="O6" s="33"/>
      <c r="P6" s="33"/>
      <c r="Q6" s="33"/>
      <c r="R6" s="33"/>
      <c r="S6" s="178"/>
      <c r="T6" s="178"/>
      <c r="U6" s="33"/>
      <c r="V6" s="175"/>
      <c r="W6" s="33"/>
      <c r="X6" s="33"/>
      <c r="Y6" s="33"/>
      <c r="Z6" s="33"/>
      <c r="AA6" s="33"/>
    </row>
    <row r="7" spans="1:27" ht="39.75" customHeight="1" x14ac:dyDescent="0.25">
      <c r="A7" s="59" t="s">
        <v>285</v>
      </c>
      <c r="B7" s="118"/>
      <c r="C7" s="121"/>
      <c r="D7" s="121">
        <v>37360</v>
      </c>
      <c r="E7" s="121">
        <v>140194.16</v>
      </c>
      <c r="F7" s="120">
        <f t="shared" ref="F7:F8" si="0">D7-B7</f>
        <v>37360</v>
      </c>
      <c r="G7" s="121">
        <f>E7/D7*F7*测算表!$G$25</f>
        <v>131285.06647178001</v>
      </c>
      <c r="H7" s="120">
        <f t="shared" ref="H7:H8" si="1">D7</f>
        <v>37360</v>
      </c>
      <c r="I7" s="121">
        <f t="shared" ref="I7:I8" si="2">(C7+G7)/(B7+F7)</f>
        <v>3.5140542417500003</v>
      </c>
      <c r="J7" s="121">
        <f t="shared" ref="J7:J8" si="3">H7*I7</f>
        <v>131285.06647178001</v>
      </c>
      <c r="K7" s="121">
        <f t="shared" ref="K7:K8" si="4">B7+F7-H7</f>
        <v>0</v>
      </c>
      <c r="L7" s="121">
        <f t="shared" ref="L7:L8" si="5">C7+G7-J7</f>
        <v>0</v>
      </c>
      <c r="M7" s="34"/>
      <c r="N7" s="167" t="e">
        <f>E10/D10</f>
        <v>#DIV/0!</v>
      </c>
      <c r="O7" s="33"/>
      <c r="P7" s="33"/>
      <c r="Q7" s="33"/>
      <c r="R7" s="33"/>
      <c r="S7" s="178"/>
      <c r="T7" s="178"/>
      <c r="U7" s="33"/>
      <c r="V7" s="175"/>
      <c r="W7" s="33"/>
      <c r="X7" s="33"/>
      <c r="Y7" s="33"/>
      <c r="Z7" s="33"/>
      <c r="AA7" s="33"/>
    </row>
    <row r="8" spans="1:27" ht="39.75" customHeight="1" x14ac:dyDescent="0.25">
      <c r="A8" s="59" t="s">
        <v>302</v>
      </c>
      <c r="B8" s="118"/>
      <c r="C8" s="119"/>
      <c r="D8" s="121">
        <v>16590</v>
      </c>
      <c r="E8" s="121">
        <v>79355.75</v>
      </c>
      <c r="F8" s="120">
        <f t="shared" si="0"/>
        <v>16590</v>
      </c>
      <c r="G8" s="121">
        <f>E8/D8*F8*测算表!$G$25</f>
        <v>74312.830960062507</v>
      </c>
      <c r="H8" s="120">
        <f t="shared" si="1"/>
        <v>16590</v>
      </c>
      <c r="I8" s="121">
        <f t="shared" si="2"/>
        <v>4.4793749825233578</v>
      </c>
      <c r="J8" s="121">
        <f t="shared" si="3"/>
        <v>74312.830960062507</v>
      </c>
      <c r="K8" s="121">
        <f t="shared" si="4"/>
        <v>0</v>
      </c>
      <c r="L8" s="121">
        <f t="shared" si="5"/>
        <v>0</v>
      </c>
      <c r="M8" s="34"/>
      <c r="N8" s="167"/>
      <c r="P8" s="33"/>
      <c r="Q8" s="33"/>
      <c r="R8" s="33"/>
      <c r="S8" s="178"/>
      <c r="T8" s="178"/>
      <c r="U8" s="33"/>
      <c r="V8" s="175"/>
      <c r="W8" s="33"/>
      <c r="X8" s="33"/>
      <c r="Y8" s="33"/>
      <c r="Z8" s="33"/>
      <c r="AA8" s="33"/>
    </row>
    <row r="9" spans="1:27" ht="39.75" customHeight="1" x14ac:dyDescent="0.25">
      <c r="A9" s="223"/>
      <c r="B9" s="118"/>
      <c r="C9" s="119"/>
      <c r="D9" s="121"/>
      <c r="E9" s="121"/>
      <c r="F9" s="120"/>
      <c r="G9" s="121"/>
      <c r="H9" s="120"/>
      <c r="I9" s="121"/>
      <c r="J9" s="121"/>
      <c r="K9" s="121"/>
      <c r="L9" s="121"/>
      <c r="M9" s="34"/>
      <c r="N9" s="167"/>
      <c r="O9" s="33"/>
      <c r="P9" s="33"/>
      <c r="Q9" s="33"/>
      <c r="R9" s="33"/>
      <c r="S9" s="175">
        <f>SUM(S5:S8)</f>
        <v>58351.29</v>
      </c>
      <c r="T9" s="175">
        <f>SUM(T5:T8)</f>
        <v>421616.79</v>
      </c>
      <c r="U9" s="33">
        <f>T9/S9</f>
        <v>7.225492187062188</v>
      </c>
      <c r="V9" s="175">
        <f>SUM(V5:V8)</f>
        <v>394823.7808248825</v>
      </c>
      <c r="W9" s="33"/>
      <c r="X9" s="33"/>
      <c r="Y9" s="33"/>
      <c r="Z9" s="33"/>
      <c r="AA9" s="33"/>
    </row>
    <row r="10" spans="1:27" ht="39.75" customHeight="1" x14ac:dyDescent="0.25">
      <c r="A10" s="149"/>
      <c r="B10" s="121"/>
      <c r="C10" s="119"/>
      <c r="D10" s="121"/>
      <c r="E10" s="121"/>
      <c r="F10" s="120"/>
      <c r="G10" s="121"/>
      <c r="H10" s="120"/>
      <c r="I10" s="121"/>
      <c r="J10" s="121"/>
      <c r="K10" s="121"/>
      <c r="L10" s="121"/>
      <c r="M10" s="34"/>
      <c r="N10" s="34"/>
      <c r="O10" s="103"/>
      <c r="P10" s="33"/>
      <c r="Q10" s="33"/>
      <c r="R10" s="33"/>
      <c r="S10" s="175"/>
      <c r="T10" s="175"/>
      <c r="U10" s="33"/>
      <c r="V10" s="175"/>
      <c r="W10" s="33"/>
      <c r="X10" s="33"/>
      <c r="Y10" s="33"/>
      <c r="Z10" s="33"/>
      <c r="AA10" s="33"/>
    </row>
    <row r="11" spans="1:27" ht="39.75" customHeight="1" x14ac:dyDescent="0.25">
      <c r="A11" s="59"/>
      <c r="B11" s="118"/>
      <c r="C11" s="119"/>
      <c r="D11" s="121"/>
      <c r="E11" s="119"/>
      <c r="F11" s="120"/>
      <c r="G11" s="121"/>
      <c r="H11" s="120"/>
      <c r="I11" s="121"/>
      <c r="J11" s="121"/>
      <c r="K11" s="121"/>
      <c r="L11" s="121"/>
      <c r="M11" s="34"/>
      <c r="N11" s="34"/>
      <c r="O11" s="33"/>
      <c r="R11" s="103"/>
      <c r="S11" s="33"/>
      <c r="T11" s="33"/>
      <c r="U11" s="33"/>
      <c r="V11" s="33"/>
      <c r="W11" s="33"/>
      <c r="X11" s="33"/>
      <c r="Y11" s="33"/>
      <c r="Z11" s="33"/>
      <c r="AA11" s="33"/>
    </row>
    <row r="12" spans="1:27" ht="39.75" customHeight="1" x14ac:dyDescent="0.25">
      <c r="A12" s="59" t="s">
        <v>129</v>
      </c>
      <c r="B12" s="121">
        <f>SUM(B5:B11)</f>
        <v>80175.76999999999</v>
      </c>
      <c r="C12" s="121">
        <f t="shared" ref="C12:H12" si="6">SUM(C5:C11)</f>
        <v>575550.94999999995</v>
      </c>
      <c r="D12" s="121">
        <f t="shared" si="6"/>
        <v>135091.77000000002</v>
      </c>
      <c r="E12" s="121">
        <f t="shared" si="6"/>
        <v>842304.9800000001</v>
      </c>
      <c r="F12" s="121">
        <f t="shared" si="6"/>
        <v>113267.29000000001</v>
      </c>
      <c r="G12" s="121">
        <f t="shared" si="6"/>
        <v>605538.18841223512</v>
      </c>
      <c r="H12" s="121">
        <f t="shared" si="6"/>
        <v>135091.77000000002</v>
      </c>
      <c r="I12" s="121"/>
      <c r="J12" s="121">
        <f t="shared" ref="J12:L12" si="7">SUM(J5:J11)</f>
        <v>772341.43722638255</v>
      </c>
      <c r="K12" s="121">
        <f t="shared" si="7"/>
        <v>58351.289999999994</v>
      </c>
      <c r="L12" s="121">
        <f t="shared" si="7"/>
        <v>408747.70118585241</v>
      </c>
      <c r="M12" s="35"/>
      <c r="N12" s="34"/>
      <c r="O12" s="33"/>
      <c r="R12" s="198"/>
      <c r="W12" s="33"/>
      <c r="X12" s="33"/>
      <c r="Y12" s="33"/>
      <c r="Z12" s="33"/>
      <c r="AA12" s="33"/>
    </row>
    <row r="13" spans="1:27" ht="30.75" customHeight="1" x14ac:dyDescent="0.25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35"/>
      <c r="N13" s="33"/>
      <c r="O13" s="33"/>
      <c r="W13" s="33"/>
      <c r="X13" s="33"/>
      <c r="Y13" s="33"/>
      <c r="Z13" s="33"/>
      <c r="AA13" s="33"/>
    </row>
    <row r="14" spans="1:27" x14ac:dyDescent="0.25">
      <c r="A14" s="33"/>
      <c r="B14" s="33"/>
      <c r="C14" s="33"/>
      <c r="D14" s="103"/>
      <c r="E14" s="103"/>
      <c r="F14" s="33"/>
      <c r="G14" s="33"/>
      <c r="H14" s="33"/>
      <c r="I14" s="33"/>
      <c r="J14" s="227">
        <f>H10*I10</f>
        <v>0</v>
      </c>
      <c r="K14" s="33"/>
      <c r="L14" s="33"/>
      <c r="M14" s="33"/>
      <c r="N14" s="33"/>
      <c r="O14" s="33"/>
      <c r="W14" s="33"/>
      <c r="X14" s="33"/>
      <c r="Y14" s="33"/>
      <c r="Z14" s="33"/>
      <c r="AA14" s="33"/>
    </row>
    <row r="15" spans="1:27" x14ac:dyDescent="0.25">
      <c r="A15" s="33"/>
      <c r="B15" s="33"/>
      <c r="C15" s="33"/>
      <c r="D15" s="33"/>
      <c r="E15" s="103"/>
      <c r="F15" s="33"/>
      <c r="G15" s="33"/>
      <c r="H15" s="33"/>
      <c r="I15" s="33"/>
      <c r="J15" s="32"/>
      <c r="K15" s="33"/>
      <c r="L15" s="33"/>
      <c r="M15" s="33"/>
      <c r="N15" s="33"/>
      <c r="O15" s="33"/>
      <c r="W15" s="33"/>
      <c r="X15" s="33"/>
      <c r="Y15" s="33"/>
      <c r="Z15" s="33"/>
      <c r="AA15" s="33"/>
    </row>
    <row r="16" spans="1:27" x14ac:dyDescent="0.25">
      <c r="A16" s="36"/>
      <c r="B16" s="36"/>
      <c r="C16" s="36"/>
      <c r="D16" s="36"/>
      <c r="E16" s="104"/>
      <c r="F16" s="36"/>
      <c r="G16" s="36"/>
      <c r="H16" s="36"/>
      <c r="I16" s="36"/>
      <c r="J16" s="36"/>
      <c r="K16" s="36"/>
      <c r="L16" s="36"/>
      <c r="M16" s="36"/>
      <c r="N16" s="36"/>
      <c r="O16" s="36"/>
      <c r="W16" s="36"/>
      <c r="X16" s="36"/>
      <c r="Y16" s="36"/>
      <c r="Z16" s="36"/>
      <c r="AA16" s="36"/>
    </row>
    <row r="17" spans="1:27" x14ac:dyDescent="0.25">
      <c r="A17" s="36"/>
      <c r="B17" s="36"/>
      <c r="C17" s="36"/>
      <c r="D17" s="36"/>
      <c r="E17" s="104">
        <f>E6+E7</f>
        <v>145657.88</v>
      </c>
      <c r="F17" s="36"/>
      <c r="G17" s="104"/>
      <c r="H17" s="36"/>
      <c r="I17" s="36"/>
      <c r="J17" s="36"/>
      <c r="K17" s="36"/>
      <c r="L17" s="36"/>
      <c r="M17" s="36"/>
      <c r="N17" s="36"/>
      <c r="O17" s="36"/>
      <c r="W17" s="36"/>
      <c r="X17" s="36"/>
      <c r="Y17" s="36"/>
      <c r="Z17" s="36"/>
      <c r="AA17" s="36"/>
    </row>
    <row r="18" spans="1:27" x14ac:dyDescent="0.25">
      <c r="A18" s="32"/>
      <c r="B18" s="32"/>
      <c r="C18" s="32"/>
      <c r="D18" s="32"/>
      <c r="E18" s="32"/>
      <c r="F18" s="37"/>
      <c r="G18" s="32"/>
      <c r="H18" s="32"/>
      <c r="I18" s="32"/>
      <c r="J18" s="32"/>
      <c r="K18" s="32"/>
      <c r="L18" s="32"/>
      <c r="M18" s="32"/>
      <c r="N18" s="32"/>
      <c r="O18" s="32"/>
      <c r="W18" s="32"/>
      <c r="X18" s="32"/>
      <c r="Y18" s="32"/>
      <c r="Z18" s="32"/>
      <c r="AA18" s="32"/>
    </row>
    <row r="19" spans="1:27" x14ac:dyDescent="0.25">
      <c r="A19" s="36"/>
      <c r="B19" s="36"/>
      <c r="C19" s="36"/>
      <c r="D19" s="36"/>
      <c r="E19" s="105"/>
      <c r="F19" s="36"/>
      <c r="G19" s="36"/>
      <c r="H19" s="36"/>
      <c r="I19" s="36"/>
      <c r="J19" s="36"/>
      <c r="K19" s="36"/>
      <c r="L19" s="36"/>
      <c r="M19" s="36"/>
      <c r="N19" s="36"/>
      <c r="O19" s="36"/>
      <c r="W19" s="36"/>
      <c r="X19" s="36"/>
      <c r="Y19" s="36"/>
      <c r="Z19" s="36"/>
      <c r="AA19" s="36"/>
    </row>
    <row r="20" spans="1:27" x14ac:dyDescent="0.25">
      <c r="A20" s="36"/>
      <c r="B20" s="36"/>
      <c r="C20" s="36"/>
      <c r="D20" s="182"/>
      <c r="E20" s="37"/>
      <c r="F20" s="36"/>
      <c r="G20" s="36"/>
      <c r="H20" s="36"/>
      <c r="I20" s="36"/>
      <c r="J20" s="36"/>
      <c r="K20" s="36"/>
      <c r="L20" s="36"/>
      <c r="M20" s="36"/>
      <c r="N20" s="36"/>
      <c r="O20" s="36"/>
      <c r="W20" s="36"/>
      <c r="X20" s="36"/>
      <c r="Y20" s="36"/>
      <c r="Z20" s="36"/>
      <c r="AA20" s="36"/>
    </row>
    <row r="21" spans="1:27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W21" s="36"/>
      <c r="X21" s="36"/>
      <c r="Y21" s="36"/>
      <c r="Z21" s="36"/>
      <c r="AA21" s="36"/>
    </row>
    <row r="22" spans="1:27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W22" s="36"/>
      <c r="X22" s="36"/>
      <c r="Y22" s="36"/>
      <c r="Z22" s="36"/>
      <c r="AA22" s="36"/>
    </row>
    <row r="23" spans="1:27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spans="1:27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spans="1:27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spans="1:27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spans="1:27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spans="1:27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spans="1:27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spans="1:27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spans="1:27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1:27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1:27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1:27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1:27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1:27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spans="1:27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1:27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spans="1:27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spans="1:27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 spans="1:27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 spans="1:27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 spans="1:27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 spans="1:27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 spans="1:27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 spans="1:27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 spans="1:27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6"/>
      <c r="S47" s="36"/>
      <c r="T47" s="36"/>
      <c r="U47" s="36"/>
      <c r="V47" s="36"/>
      <c r="W47" s="33"/>
      <c r="X47" s="33"/>
      <c r="Y47" s="33"/>
      <c r="Z47" s="33"/>
      <c r="AA47" s="33"/>
    </row>
    <row r="48" spans="1:27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 spans="1:27" x14ac:dyDescent="0.25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 spans="1:27" x14ac:dyDescent="0.2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 spans="1:27" x14ac:dyDescent="0.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 spans="1:27" x14ac:dyDescent="0.2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 spans="1:27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 spans="1:27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1:27" x14ac:dyDescent="0.2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 spans="1:27" x14ac:dyDescent="0.2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 spans="1:27" x14ac:dyDescent="0.2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 spans="1:27" x14ac:dyDescent="0.2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 spans="1:27" x14ac:dyDescent="0.2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1:27" x14ac:dyDescent="0.2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 spans="1:27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 spans="1:27" x14ac:dyDescent="0.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 spans="1:27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1:27" x14ac:dyDescent="0.2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 spans="1:27" x14ac:dyDescent="0.2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 spans="1:27" x14ac:dyDescent="0.2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 spans="1:27" x14ac:dyDescent="0.2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 spans="1:27" x14ac:dyDescent="0.2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 spans="1:27" x14ac:dyDescent="0.2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 spans="1:27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 spans="1:27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 spans="1:27" x14ac:dyDescent="0.2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 spans="1:27" x14ac:dyDescent="0.2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 spans="1:27" x14ac:dyDescent="0.2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 spans="1:27" x14ac:dyDescent="0.2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 spans="1:27" x14ac:dyDescent="0.2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 spans="1:27" x14ac:dyDescent="0.2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 spans="1:27" x14ac:dyDescent="0.2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 spans="1:27" x14ac:dyDescent="0.25">
      <c r="R79" s="33"/>
      <c r="S79" s="33"/>
      <c r="T79" s="33"/>
      <c r="U79" s="33"/>
      <c r="V79" s="33"/>
    </row>
  </sheetData>
  <mergeCells count="8">
    <mergeCell ref="A2:L2"/>
    <mergeCell ref="A1:L1"/>
    <mergeCell ref="A3:A4"/>
    <mergeCell ref="B3:C3"/>
    <mergeCell ref="D3:E3"/>
    <mergeCell ref="H3:J3"/>
    <mergeCell ref="K3:L3"/>
    <mergeCell ref="F3:G3"/>
  </mergeCells>
  <phoneticPr fontId="2" type="noConversion"/>
  <printOptions horizontalCentered="1"/>
  <pageMargins left="0.39370078740157483" right="0.39370078740157483" top="0.39370078740157483" bottom="0.39370078740157483" header="0.19685039370078741" footer="0.19685039370078741"/>
  <pageSetup paperSize="11" scale="70" orientation="landscape" blackAndWhite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D3CDF-53C9-4946-A42C-B53C25B7B52C}">
  <sheetPr>
    <pageSetUpPr fitToPage="1"/>
  </sheetPr>
  <dimension ref="A1:Q64"/>
  <sheetViews>
    <sheetView zoomScaleNormal="100" workbookViewId="0">
      <selection activeCell="B11" sqref="B11"/>
    </sheetView>
  </sheetViews>
  <sheetFormatPr defaultRowHeight="15.6" x14ac:dyDescent="0.25"/>
  <cols>
    <col min="1" max="1" width="20.19921875" customWidth="1"/>
    <col min="2" max="7" width="13.69921875" customWidth="1"/>
    <col min="8" max="9" width="13.69921875" hidden="1" customWidth="1"/>
    <col min="11" max="11" width="10.5" bestFit="1" customWidth="1"/>
    <col min="12" max="12" width="18.8984375" style="66" bestFit="1" customWidth="1"/>
    <col min="13" max="13" width="8.09765625" style="66" customWidth="1"/>
    <col min="15" max="15" width="12.59765625" bestFit="1" customWidth="1"/>
  </cols>
  <sheetData>
    <row r="1" spans="1:17" ht="24.75" customHeight="1" x14ac:dyDescent="0.25">
      <c r="A1" s="243" t="s">
        <v>128</v>
      </c>
      <c r="B1" s="243"/>
      <c r="C1" s="243"/>
      <c r="D1" s="243"/>
      <c r="E1" s="243"/>
      <c r="F1" s="243"/>
      <c r="G1" s="243"/>
      <c r="H1" s="243"/>
      <c r="I1" s="243"/>
    </row>
    <row r="2" spans="1:17" ht="20.25" customHeight="1" x14ac:dyDescent="0.25">
      <c r="A2" s="242" t="s">
        <v>307</v>
      </c>
      <c r="B2" s="242"/>
      <c r="C2" s="242"/>
      <c r="D2" s="242"/>
      <c r="E2" s="242"/>
      <c r="F2" s="242"/>
      <c r="G2" s="242"/>
      <c r="H2" s="242"/>
      <c r="I2" s="242"/>
    </row>
    <row r="3" spans="1:17" ht="45.75" customHeight="1" x14ac:dyDescent="0.25">
      <c r="A3" s="70" t="s">
        <v>99</v>
      </c>
      <c r="B3" s="71" t="s">
        <v>62</v>
      </c>
      <c r="C3" s="72" t="str">
        <f>销售成本!A5</f>
        <v>铁制导轨（千克</v>
      </c>
      <c r="D3" s="72" t="str">
        <f>销售成本!A6</f>
        <v>导轨（套</v>
      </c>
      <c r="E3" s="72" t="str">
        <f>销售成本!A7</f>
        <v>滑轨（付</v>
      </c>
      <c r="F3" s="72" t="str">
        <f>销售成本!A8</f>
        <v>滑轨（套</v>
      </c>
      <c r="G3" s="72"/>
      <c r="H3" s="72"/>
      <c r="I3" s="73"/>
      <c r="K3" s="66"/>
      <c r="L3" s="139">
        <f>生产成本月结表!J4</f>
        <v>-260261.58800083279</v>
      </c>
      <c r="M3" s="168">
        <f>生产成本月结表!E4-测算表!K7</f>
        <v>441335.5371873742</v>
      </c>
    </row>
    <row r="4" spans="1:17" ht="22.5" customHeight="1" x14ac:dyDescent="0.25">
      <c r="A4" s="54" t="s">
        <v>63</v>
      </c>
      <c r="B4" s="88">
        <f>B5+B7</f>
        <v>391154.11006996658</v>
      </c>
      <c r="C4" s="88">
        <f>C5+C7</f>
        <v>255040.80102356762</v>
      </c>
      <c r="D4" s="88">
        <f t="shared" ref="D4:F4" si="0">D5+D7</f>
        <v>3305.0664926519812</v>
      </c>
      <c r="E4" s="88">
        <f t="shared" si="0"/>
        <v>84805.045039184057</v>
      </c>
      <c r="F4" s="88">
        <f t="shared" si="0"/>
        <v>48003.197514562875</v>
      </c>
      <c r="G4" s="88"/>
      <c r="H4" s="88"/>
      <c r="I4" s="88"/>
      <c r="J4" s="82"/>
      <c r="K4" s="150">
        <f>SUM(C4:I4)-B4</f>
        <v>0</v>
      </c>
      <c r="L4" s="139">
        <f>生产成本月结表!J5</f>
        <v>-13.417431649264472</v>
      </c>
    </row>
    <row r="5" spans="1:17" ht="22.5" customHeight="1" x14ac:dyDescent="0.25">
      <c r="A5" s="53" t="s">
        <v>76</v>
      </c>
      <c r="B5" s="88">
        <f>B16-B8-B7</f>
        <v>326101.14248884015</v>
      </c>
      <c r="C5" s="88">
        <f>B5/B16*C16</f>
        <v>212624.88224955049</v>
      </c>
      <c r="D5" s="88">
        <f t="shared" ref="D5:F5" si="1">C5/C16*D16</f>
        <v>2755.399806645542</v>
      </c>
      <c r="E5" s="88">
        <f t="shared" si="1"/>
        <v>70701.090348120735</v>
      </c>
      <c r="F5" s="88">
        <f t="shared" si="1"/>
        <v>40019.770084523363</v>
      </c>
      <c r="G5" s="88"/>
      <c r="H5" s="88"/>
      <c r="I5" s="88"/>
      <c r="J5" s="82"/>
      <c r="K5" s="150">
        <f>SUM(C5:I5)-B5</f>
        <v>0</v>
      </c>
      <c r="L5" s="168">
        <f>生产成本月结表!E6</f>
        <v>3837.7316577314505</v>
      </c>
      <c r="M5" s="66" t="s">
        <v>266</v>
      </c>
    </row>
    <row r="6" spans="1:17" ht="22.5" customHeight="1" x14ac:dyDescent="0.25">
      <c r="A6" s="53" t="s">
        <v>87</v>
      </c>
      <c r="B6" s="88"/>
      <c r="C6" s="88"/>
      <c r="D6" s="88"/>
      <c r="E6" s="88"/>
      <c r="F6" s="88"/>
      <c r="G6" s="88"/>
      <c r="H6" s="88"/>
      <c r="I6" s="88"/>
      <c r="J6" s="82"/>
      <c r="K6" s="150"/>
    </row>
    <row r="7" spans="1:17" ht="22.5" customHeight="1" x14ac:dyDescent="0.25">
      <c r="A7" s="53" t="s">
        <v>77</v>
      </c>
      <c r="B7" s="88">
        <f>B16*0.10743</f>
        <v>65052.967581126417</v>
      </c>
      <c r="C7" s="88">
        <f>B7/B16*C16</f>
        <v>42415.918774017126</v>
      </c>
      <c r="D7" s="88">
        <f t="shared" ref="D7:F7" si="2">C7/C16*D16</f>
        <v>549.66668600643925</v>
      </c>
      <c r="E7" s="88">
        <f t="shared" si="2"/>
        <v>14103.954691063323</v>
      </c>
      <c r="F7" s="88">
        <f t="shared" si="2"/>
        <v>7983.4274300395136</v>
      </c>
      <c r="G7" s="88"/>
      <c r="H7" s="88"/>
      <c r="I7" s="88"/>
      <c r="J7" s="82"/>
      <c r="K7" s="150">
        <f>SUM(C7:I7)-B7</f>
        <v>0</v>
      </c>
    </row>
    <row r="8" spans="1:17" ht="22.5" customHeight="1" x14ac:dyDescent="0.25">
      <c r="A8" s="75" t="s">
        <v>78</v>
      </c>
      <c r="B8" s="88">
        <f>B9+B10+B11+B13</f>
        <v>214384.07834226853</v>
      </c>
      <c r="C8" s="88">
        <f t="shared" ref="C8:F8" si="3">C9+C10+C11+C13</f>
        <v>139782.97980131491</v>
      </c>
      <c r="D8" s="88">
        <f t="shared" si="3"/>
        <v>1811.4436628580193</v>
      </c>
      <c r="E8" s="88">
        <f t="shared" si="3"/>
        <v>46480.021432595961</v>
      </c>
      <c r="F8" s="88">
        <f t="shared" si="3"/>
        <v>26309.633445499636</v>
      </c>
      <c r="G8" s="88"/>
      <c r="H8" s="88"/>
      <c r="I8" s="88"/>
      <c r="J8" s="82"/>
      <c r="K8" s="150">
        <f>SUM(C8:I8)-B8</f>
        <v>0</v>
      </c>
      <c r="L8" s="179"/>
      <c r="O8" s="57" t="s">
        <v>287</v>
      </c>
    </row>
    <row r="9" spans="1:17" ht="22.5" customHeight="1" x14ac:dyDescent="0.25">
      <c r="A9" s="53" t="s">
        <v>79</v>
      </c>
      <c r="B9" s="88">
        <f>B16/54*电费!D64</f>
        <v>6911.4783422685487</v>
      </c>
      <c r="C9" s="88">
        <f>B9/B16*C16</f>
        <v>4506.430911217858</v>
      </c>
      <c r="D9" s="88">
        <f t="shared" ref="D9:F9" si="4">C9/C16*D16</f>
        <v>58.398710113606327</v>
      </c>
      <c r="E9" s="88">
        <f t="shared" si="4"/>
        <v>1498.4585794038758</v>
      </c>
      <c r="F9" s="88">
        <f t="shared" si="4"/>
        <v>848.19014153320734</v>
      </c>
      <c r="G9" s="88"/>
      <c r="H9" s="88"/>
      <c r="I9" s="88"/>
      <c r="J9" s="82"/>
      <c r="K9" s="150">
        <f>SUM(C9:I9)-B9</f>
        <v>0</v>
      </c>
      <c r="L9" s="169"/>
      <c r="O9" s="228">
        <f>-165188.19+0-B11</f>
        <v>-369093.19</v>
      </c>
    </row>
    <row r="10" spans="1:17" ht="22.5" customHeight="1" x14ac:dyDescent="0.25">
      <c r="A10" s="53" t="s">
        <v>80</v>
      </c>
      <c r="B10" s="88">
        <f>测算表!B9</f>
        <v>3567.6</v>
      </c>
      <c r="C10" s="88">
        <f>B10/B16*C16</f>
        <v>2326.1510957124469</v>
      </c>
      <c r="D10" s="88">
        <f t="shared" ref="D10:F10" si="5">C10/C16*D16</f>
        <v>30.144525944201629</v>
      </c>
      <c r="E10" s="88">
        <f t="shared" si="5"/>
        <v>773.4815278501743</v>
      </c>
      <c r="F10" s="88">
        <f t="shared" si="5"/>
        <v>437.82285049317653</v>
      </c>
      <c r="G10" s="88"/>
      <c r="H10" s="88"/>
      <c r="I10" s="88"/>
      <c r="J10" s="82"/>
      <c r="K10" s="150">
        <f>SUM(C10:I10)-B10</f>
        <v>0</v>
      </c>
    </row>
    <row r="11" spans="1:17" ht="22.5" customHeight="1" x14ac:dyDescent="0.25">
      <c r="A11" s="53" t="s">
        <v>157</v>
      </c>
      <c r="B11" s="88">
        <v>203905</v>
      </c>
      <c r="C11" s="88">
        <f>B11/B16*C16</f>
        <v>132950.3977943846</v>
      </c>
      <c r="D11" s="88">
        <f t="shared" ref="D11:F11" si="6">C11/C16*D16</f>
        <v>1722.9004268002113</v>
      </c>
      <c r="E11" s="88">
        <f t="shared" si="6"/>
        <v>44208.081325341911</v>
      </c>
      <c r="F11" s="88">
        <f t="shared" si="6"/>
        <v>25023.620453473253</v>
      </c>
      <c r="G11" s="88"/>
      <c r="H11" s="88"/>
      <c r="I11" s="88"/>
      <c r="J11" s="82"/>
      <c r="K11" s="150">
        <f>SUM(C11:I11)-B11</f>
        <v>0</v>
      </c>
      <c r="L11" s="168">
        <f>B5/材料!J5*P11</f>
        <v>66548.422245494163</v>
      </c>
      <c r="O11">
        <v>90</v>
      </c>
      <c r="P11">
        <f>Q11/O11</f>
        <v>707.96455555555553</v>
      </c>
      <c r="Q11">
        <v>63716.81</v>
      </c>
    </row>
    <row r="12" spans="1:17" ht="22.5" customHeight="1" x14ac:dyDescent="0.25">
      <c r="A12" s="53" t="s">
        <v>81</v>
      </c>
      <c r="B12" s="88"/>
      <c r="C12" s="88"/>
      <c r="D12" s="88"/>
      <c r="E12" s="88"/>
      <c r="F12" s="88"/>
      <c r="G12" s="88"/>
      <c r="H12" s="88"/>
      <c r="I12" s="88"/>
      <c r="J12" s="82"/>
      <c r="K12" s="150"/>
    </row>
    <row r="13" spans="1:17" ht="22.5" customHeight="1" x14ac:dyDescent="0.25">
      <c r="A13" s="53" t="s">
        <v>82</v>
      </c>
      <c r="B13" s="88"/>
      <c r="C13" s="88"/>
      <c r="D13" s="88"/>
      <c r="E13" s="88"/>
      <c r="F13" s="88"/>
      <c r="G13" s="88"/>
      <c r="H13" s="88"/>
      <c r="I13" s="88"/>
      <c r="J13" s="82"/>
      <c r="K13" s="150"/>
    </row>
    <row r="14" spans="1:17" ht="22.5" customHeight="1" x14ac:dyDescent="0.25">
      <c r="A14" s="53" t="s">
        <v>83</v>
      </c>
      <c r="B14" s="88"/>
      <c r="C14" s="88"/>
      <c r="D14" s="88"/>
      <c r="E14" s="88"/>
      <c r="F14" s="88"/>
      <c r="G14" s="88"/>
      <c r="H14" s="88"/>
      <c r="I14" s="88"/>
      <c r="J14" s="82"/>
      <c r="K14" s="150"/>
      <c r="M14" s="66" t="s">
        <v>253</v>
      </c>
    </row>
    <row r="15" spans="1:17" ht="22.5" customHeight="1" x14ac:dyDescent="0.25">
      <c r="A15" s="53" t="s">
        <v>84</v>
      </c>
      <c r="B15" s="88"/>
      <c r="C15" s="88"/>
      <c r="D15" s="88"/>
      <c r="E15" s="88"/>
      <c r="F15" s="88"/>
      <c r="G15" s="88"/>
      <c r="H15" s="88"/>
      <c r="I15" s="88"/>
      <c r="J15" s="82"/>
      <c r="K15" s="150"/>
      <c r="L15" s="168">
        <f>生产成本月结表!H11</f>
        <v>252345.32417324127</v>
      </c>
      <c r="M15" s="66" t="s">
        <v>254</v>
      </c>
    </row>
    <row r="16" spans="1:17" ht="22.5" customHeight="1" x14ac:dyDescent="0.25">
      <c r="A16" s="76" t="s">
        <v>73</v>
      </c>
      <c r="B16" s="89">
        <f>销售成本!G12</f>
        <v>605538.18841223512</v>
      </c>
      <c r="C16" s="89">
        <f>销售成本!G5</f>
        <v>394823.7808248825</v>
      </c>
      <c r="D16" s="89">
        <f>销售成本!G6</f>
        <v>5116.51015551</v>
      </c>
      <c r="E16" s="89">
        <f>销售成本!G7</f>
        <v>131285.06647178001</v>
      </c>
      <c r="F16" s="89">
        <f>销售成本!G8</f>
        <v>74312.830960062507</v>
      </c>
      <c r="G16" s="89"/>
      <c r="H16" s="89"/>
      <c r="I16" s="77"/>
      <c r="J16" s="82"/>
      <c r="K16" s="150">
        <f>SUM(C16:I16)-B16</f>
        <v>0</v>
      </c>
      <c r="L16" s="168">
        <f>生产成本月结表!F20</f>
        <v>-338785.9168963327</v>
      </c>
      <c r="M16" s="66" t="s">
        <v>255</v>
      </c>
      <c r="N16" s="57" t="s">
        <v>305</v>
      </c>
    </row>
    <row r="17" spans="1:11" ht="22.5" customHeight="1" x14ac:dyDescent="0.25">
      <c r="A17" s="76" t="s">
        <v>67</v>
      </c>
      <c r="B17" s="89"/>
      <c r="C17" s="89" t="s">
        <v>177</v>
      </c>
      <c r="D17" s="89" t="s">
        <v>303</v>
      </c>
      <c r="E17" s="89" t="s">
        <v>288</v>
      </c>
      <c r="F17" s="89" t="s">
        <v>303</v>
      </c>
      <c r="G17" s="89"/>
      <c r="H17" s="89"/>
      <c r="I17" s="89"/>
      <c r="J17" s="82"/>
      <c r="K17" s="150"/>
    </row>
    <row r="18" spans="1:11" ht="22.5" customHeight="1" x14ac:dyDescent="0.25">
      <c r="A18" s="76" t="s">
        <v>85</v>
      </c>
      <c r="B18" s="89">
        <f>销售成本!F12</f>
        <v>113267.29000000001</v>
      </c>
      <c r="C18" s="89">
        <f>销售成本!F5</f>
        <v>58351.29</v>
      </c>
      <c r="D18" s="89">
        <f>销售成本!F6</f>
        <v>966</v>
      </c>
      <c r="E18" s="89">
        <f>销售成本!F7</f>
        <v>37360</v>
      </c>
      <c r="F18" s="89">
        <f>销售成本!F8</f>
        <v>16590</v>
      </c>
      <c r="G18" s="89"/>
      <c r="H18" s="89"/>
      <c r="I18" s="77"/>
      <c r="J18" s="82"/>
      <c r="K18" s="150">
        <f>SUM(C18:I18)-B18</f>
        <v>0</v>
      </c>
    </row>
    <row r="19" spans="1:11" ht="22.5" customHeight="1" x14ac:dyDescent="0.25">
      <c r="A19" s="76" t="s">
        <v>86</v>
      </c>
      <c r="B19" s="74"/>
      <c r="C19" s="87">
        <f>C16/C18</f>
        <v>6.7663248031857135</v>
      </c>
      <c r="D19" s="87">
        <f t="shared" ref="D19:F19" si="7">D16/D18</f>
        <v>5.2965943638819875</v>
      </c>
      <c r="E19" s="87">
        <f t="shared" si="7"/>
        <v>3.5140542417500003</v>
      </c>
      <c r="F19" s="87">
        <f t="shared" si="7"/>
        <v>4.4793749825233578</v>
      </c>
      <c r="G19" s="87"/>
      <c r="H19" s="87"/>
      <c r="I19" s="87"/>
    </row>
    <row r="20" spans="1:11" ht="24" customHeight="1" x14ac:dyDescent="0.25">
      <c r="A20" s="117"/>
      <c r="B20" s="117"/>
      <c r="C20" s="117"/>
      <c r="D20" s="117"/>
      <c r="E20" s="117"/>
      <c r="F20" s="117"/>
      <c r="G20" s="117"/>
      <c r="H20" s="117"/>
      <c r="I20" s="117"/>
    </row>
    <row r="21" spans="1:11" x14ac:dyDescent="0.25">
      <c r="A21" s="40"/>
      <c r="B21" s="40"/>
      <c r="C21" s="40"/>
      <c r="D21" s="40"/>
      <c r="E21" s="40"/>
    </row>
    <row r="22" spans="1:11" x14ac:dyDescent="0.25">
      <c r="A22" s="41"/>
      <c r="B22" s="42">
        <f>SUM(C22:F22)</f>
        <v>82463.831325579144</v>
      </c>
      <c r="C22" s="42">
        <f>C5/材料!$J$5*1000</f>
        <v>61289.773179176365</v>
      </c>
      <c r="D22" s="42">
        <f>D5/材料!$J$5*1000</f>
        <v>794.25242888104503</v>
      </c>
      <c r="E22" s="42">
        <f>E5/材料!$J$5*1000</f>
        <v>20379.805717521736</v>
      </c>
      <c r="F22" s="42"/>
      <c r="G22" s="42"/>
      <c r="H22" s="42"/>
      <c r="I22" s="42"/>
    </row>
    <row r="23" spans="1:11" x14ac:dyDescent="0.25">
      <c r="A23" s="40"/>
      <c r="B23" s="42"/>
      <c r="C23" s="42">
        <f>C22-C18</f>
        <v>2938.4831791763645</v>
      </c>
      <c r="D23" s="42">
        <f>D22/D18</f>
        <v>0.82220748331371118</v>
      </c>
      <c r="E23" s="42">
        <f t="shared" ref="E23" si="8">E22/E18</f>
        <v>0.54549801171096723</v>
      </c>
      <c r="F23" s="42"/>
      <c r="G23" s="42"/>
      <c r="H23" s="42"/>
      <c r="I23" s="42"/>
      <c r="J23" t="s">
        <v>97</v>
      </c>
    </row>
    <row r="24" spans="1:11" x14ac:dyDescent="0.25">
      <c r="B24" s="125">
        <f>测算表!G25*产品成本!B25</f>
        <v>0.50430838451559412</v>
      </c>
      <c r="D24" s="40"/>
      <c r="E24" s="40"/>
    </row>
    <row r="25" spans="1:11" x14ac:dyDescent="0.25">
      <c r="A25" s="40" t="s">
        <v>71</v>
      </c>
      <c r="B25" s="94">
        <f>B5/B16</f>
        <v>0.53853109304947544</v>
      </c>
      <c r="C25" s="94">
        <v>0.84093418371523687</v>
      </c>
      <c r="E25" s="40"/>
    </row>
    <row r="26" spans="1:11" x14ac:dyDescent="0.25">
      <c r="A26" s="40" t="s">
        <v>75</v>
      </c>
      <c r="B26" s="94">
        <f>B7/B16</f>
        <v>0.10743</v>
      </c>
      <c r="C26" s="94">
        <v>6.5046991428823309E-2</v>
      </c>
      <c r="D26" s="40"/>
      <c r="E26" s="40"/>
    </row>
    <row r="27" spans="1:11" x14ac:dyDescent="0.25">
      <c r="A27" s="40" t="s">
        <v>74</v>
      </c>
      <c r="B27" s="94">
        <f>B9/B16</f>
        <v>1.1413777817037344E-2</v>
      </c>
      <c r="C27" s="94">
        <v>1.5700000000000002E-2</v>
      </c>
      <c r="D27" s="40"/>
      <c r="E27" s="40"/>
    </row>
    <row r="28" spans="1:11" ht="13.5" customHeight="1" x14ac:dyDescent="0.25">
      <c r="A28" s="181" t="s">
        <v>195</v>
      </c>
      <c r="B28" s="94">
        <f>B11/B16</f>
        <v>0.33673351062243267</v>
      </c>
      <c r="C28" s="94">
        <v>7.77047887549073E-2</v>
      </c>
      <c r="D28" s="40">
        <f>产品成本!B16*0.042</f>
        <v>25432.603913313877</v>
      </c>
      <c r="E28" s="40"/>
    </row>
    <row r="29" spans="1:11" ht="13.5" customHeight="1" x14ac:dyDescent="0.25">
      <c r="A29" s="40"/>
      <c r="B29" s="40"/>
      <c r="C29" s="40"/>
      <c r="D29" s="40"/>
      <c r="E29" s="40"/>
    </row>
    <row r="30" spans="1:11" ht="13.5" customHeight="1" x14ac:dyDescent="0.25">
      <c r="A30" s="61"/>
      <c r="B30" s="100"/>
      <c r="C30" s="144"/>
      <c r="D30" s="40"/>
      <c r="E30" s="153"/>
    </row>
    <row r="31" spans="1:11" ht="13.5" customHeight="1" x14ac:dyDescent="0.25">
      <c r="A31" s="43"/>
      <c r="B31" s="44"/>
      <c r="C31" s="45"/>
      <c r="D31" s="40"/>
      <c r="E31" s="40"/>
    </row>
    <row r="32" spans="1:11" ht="13.5" customHeight="1" x14ac:dyDescent="0.25">
      <c r="A32" s="62"/>
      <c r="B32" s="62"/>
      <c r="C32" s="46"/>
      <c r="D32" s="40"/>
      <c r="E32" s="40"/>
    </row>
    <row r="33" spans="1:5" ht="13.5" customHeight="1" x14ac:dyDescent="0.25">
      <c r="A33" s="62"/>
      <c r="B33" s="62"/>
      <c r="C33" s="46"/>
      <c r="D33" s="40"/>
      <c r="E33" s="40"/>
    </row>
    <row r="34" spans="1:5" ht="13.5" customHeight="1" x14ac:dyDescent="0.25">
      <c r="A34" s="62"/>
      <c r="C34" s="46"/>
      <c r="D34" s="40"/>
      <c r="E34" s="40"/>
    </row>
    <row r="35" spans="1:5" ht="13.5" customHeight="1" x14ac:dyDescent="0.25">
      <c r="A35" s="47"/>
      <c r="B35" s="48"/>
      <c r="C35" s="48"/>
      <c r="D35" s="40"/>
      <c r="E35" s="40"/>
    </row>
    <row r="36" spans="1:5" ht="13.5" customHeight="1" x14ac:dyDescent="0.25">
      <c r="A36" s="49"/>
      <c r="B36" s="40"/>
      <c r="C36" s="50"/>
      <c r="D36" s="40"/>
      <c r="E36" s="40"/>
    </row>
    <row r="37" spans="1:5" ht="13.5" customHeight="1" x14ac:dyDescent="0.25">
      <c r="A37" s="51"/>
      <c r="B37" s="49"/>
      <c r="C37" s="50"/>
      <c r="D37" s="40"/>
      <c r="E37" s="40"/>
    </row>
    <row r="38" spans="1:5" ht="13.5" customHeight="1" x14ac:dyDescent="0.25">
      <c r="A38" s="40"/>
      <c r="B38" s="49"/>
      <c r="C38" s="50"/>
      <c r="D38" s="40"/>
      <c r="E38" s="40"/>
    </row>
    <row r="39" spans="1:5" ht="13.5" customHeight="1" x14ac:dyDescent="0.25">
      <c r="A39" s="40"/>
      <c r="B39" s="49"/>
      <c r="C39" s="50"/>
      <c r="D39" s="40"/>
      <c r="E39" s="40"/>
    </row>
    <row r="40" spans="1:5" ht="13.5" customHeight="1" x14ac:dyDescent="0.25">
      <c r="A40" s="40"/>
      <c r="B40" s="49"/>
      <c r="C40" s="50"/>
      <c r="D40" s="40"/>
      <c r="E40" s="40"/>
    </row>
    <row r="41" spans="1:5" ht="13.5" customHeight="1" x14ac:dyDescent="0.25">
      <c r="A41" s="40"/>
      <c r="B41" s="49"/>
      <c r="C41" s="50"/>
      <c r="D41" s="40"/>
      <c r="E41" s="40"/>
    </row>
    <row r="42" spans="1:5" ht="13.5" customHeight="1" x14ac:dyDescent="0.25">
      <c r="A42" s="40"/>
      <c r="B42" s="49"/>
      <c r="C42" s="50"/>
      <c r="D42" s="40"/>
      <c r="E42" s="40"/>
    </row>
    <row r="43" spans="1:5" ht="13.5" customHeight="1" x14ac:dyDescent="0.25">
      <c r="A43" s="40"/>
      <c r="B43" s="49"/>
      <c r="C43" s="50"/>
      <c r="D43" s="40"/>
      <c r="E43" s="40"/>
    </row>
    <row r="44" spans="1:5" ht="13.5" customHeight="1" x14ac:dyDescent="0.25">
      <c r="A44" s="40"/>
      <c r="B44" s="49"/>
      <c r="C44" s="50"/>
      <c r="D44" s="40"/>
      <c r="E44" s="40"/>
    </row>
    <row r="45" spans="1:5" ht="13.5" customHeight="1" x14ac:dyDescent="0.25">
      <c r="A45" s="40"/>
      <c r="B45" s="49"/>
      <c r="C45" s="50"/>
      <c r="D45" s="40"/>
      <c r="E45" s="40"/>
    </row>
    <row r="46" spans="1:5" ht="13.5" customHeight="1" x14ac:dyDescent="0.25">
      <c r="A46" s="40"/>
      <c r="B46" s="49"/>
      <c r="C46" s="50"/>
      <c r="D46" s="40"/>
      <c r="E46" s="40"/>
    </row>
    <row r="47" spans="1:5" ht="13.5" customHeight="1" x14ac:dyDescent="0.25">
      <c r="A47" s="40"/>
      <c r="B47" s="40"/>
      <c r="C47" s="40"/>
      <c r="D47" s="40"/>
      <c r="E47" s="40"/>
    </row>
    <row r="48" spans="1:5" ht="13.5" customHeight="1" x14ac:dyDescent="0.3">
      <c r="A48" s="52"/>
      <c r="B48" s="40"/>
      <c r="C48" s="40"/>
      <c r="D48" s="40"/>
      <c r="E48" s="40"/>
    </row>
    <row r="49" spans="1:5" ht="13.5" customHeight="1" x14ac:dyDescent="0.25">
      <c r="A49" s="40"/>
      <c r="B49" s="40"/>
      <c r="C49" s="40"/>
      <c r="D49" s="40"/>
      <c r="E49" s="40"/>
    </row>
    <row r="50" spans="1:5" ht="13.5" customHeight="1" x14ac:dyDescent="0.25">
      <c r="A50" s="40"/>
      <c r="B50" s="40"/>
      <c r="C50" s="40"/>
      <c r="D50" s="40"/>
      <c r="E50" s="40"/>
    </row>
    <row r="51" spans="1:5" ht="13.5" customHeight="1" x14ac:dyDescent="0.25">
      <c r="A51" s="40"/>
      <c r="B51" s="40"/>
      <c r="C51" s="40"/>
      <c r="D51" s="40"/>
      <c r="E51" s="40"/>
    </row>
    <row r="52" spans="1:5" ht="13.5" customHeight="1" x14ac:dyDescent="0.25">
      <c r="A52" s="40"/>
      <c r="B52" s="40"/>
      <c r="C52" s="40"/>
      <c r="D52" s="40"/>
      <c r="E52" s="40"/>
    </row>
    <row r="53" spans="1:5" ht="13.5" customHeight="1" x14ac:dyDescent="0.25">
      <c r="A53" s="40"/>
      <c r="B53" s="40"/>
      <c r="C53" s="40"/>
      <c r="D53" s="40"/>
      <c r="E53" s="40"/>
    </row>
    <row r="54" spans="1:5" ht="13.5" customHeight="1" x14ac:dyDescent="0.25">
      <c r="A54" s="40"/>
      <c r="B54" s="40"/>
      <c r="C54" s="40"/>
      <c r="D54" s="40"/>
      <c r="E54" s="40"/>
    </row>
    <row r="55" spans="1:5" ht="13.5" customHeight="1" x14ac:dyDescent="0.25">
      <c r="A55" s="40"/>
      <c r="B55" s="40"/>
      <c r="C55" s="40"/>
      <c r="D55" s="40"/>
      <c r="E55" s="40"/>
    </row>
    <row r="56" spans="1:5" ht="13.5" customHeight="1" x14ac:dyDescent="0.25">
      <c r="A56" s="40"/>
      <c r="B56" s="40"/>
      <c r="C56" s="40"/>
      <c r="D56" s="40"/>
      <c r="E56" s="40"/>
    </row>
    <row r="57" spans="1:5" ht="13.5" customHeight="1" x14ac:dyDescent="0.25">
      <c r="A57" s="40"/>
      <c r="B57" s="40"/>
      <c r="C57" s="40"/>
      <c r="D57" s="40"/>
      <c r="E57" s="40"/>
    </row>
    <row r="58" spans="1:5" ht="13.5" customHeight="1" x14ac:dyDescent="0.25">
      <c r="A58" s="40"/>
      <c r="B58" s="40"/>
      <c r="C58" s="40"/>
      <c r="D58" s="40"/>
      <c r="E58" s="40"/>
    </row>
    <row r="59" spans="1:5" ht="13.5" customHeight="1" x14ac:dyDescent="0.25">
      <c r="A59" s="40"/>
      <c r="B59" s="40"/>
      <c r="C59" s="40"/>
      <c r="D59" s="40"/>
      <c r="E59" s="40"/>
    </row>
    <row r="60" spans="1:5" ht="13.5" customHeight="1" x14ac:dyDescent="0.25">
      <c r="A60" s="40"/>
      <c r="B60" s="40"/>
      <c r="C60" s="40"/>
      <c r="D60" s="40"/>
      <c r="E60" s="40"/>
    </row>
    <row r="61" spans="1:5" ht="13.5" customHeight="1" x14ac:dyDescent="0.25">
      <c r="A61" s="40"/>
      <c r="B61" s="40"/>
      <c r="C61" s="40"/>
      <c r="D61" s="40"/>
      <c r="E61" s="40"/>
    </row>
    <row r="62" spans="1:5" ht="13.5" customHeight="1" x14ac:dyDescent="0.25">
      <c r="A62" s="40"/>
      <c r="B62" s="40"/>
      <c r="C62" s="40"/>
      <c r="D62" s="40"/>
      <c r="E62" s="40"/>
    </row>
    <row r="63" spans="1:5" ht="13.5" customHeight="1" x14ac:dyDescent="0.25">
      <c r="A63" s="40"/>
      <c r="B63" s="40"/>
      <c r="C63" s="40"/>
      <c r="D63" s="40"/>
      <c r="E63" s="40"/>
    </row>
    <row r="64" spans="1:5" ht="13.5" customHeight="1" x14ac:dyDescent="0.25">
      <c r="A64" s="40"/>
      <c r="B64" s="40"/>
      <c r="C64" s="40"/>
      <c r="D64" s="40"/>
      <c r="E64" s="40"/>
    </row>
  </sheetData>
  <mergeCells count="2">
    <mergeCell ref="A2:I2"/>
    <mergeCell ref="A1:I1"/>
  </mergeCells>
  <phoneticPr fontId="2" type="noConversion"/>
  <pageMargins left="0.39370078740157483" right="0.39370078740157483" top="0.39370078740157483" bottom="0.39370078740157483" header="0.19685039370078741" footer="0.19685039370078741"/>
  <pageSetup paperSize="11" scale="85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2FF5F-A09C-4371-B955-7D7649A894C1}">
  <sheetPr>
    <pageSetUpPr fitToPage="1"/>
  </sheetPr>
  <dimension ref="A1:AA28"/>
  <sheetViews>
    <sheetView zoomScale="85" zoomScaleNormal="85" workbookViewId="0">
      <selection activeCell="I5" sqref="I5"/>
    </sheetView>
  </sheetViews>
  <sheetFormatPr defaultColWidth="9" defaultRowHeight="15.6" x14ac:dyDescent="0.25"/>
  <cols>
    <col min="1" max="1" width="13.8984375" style="9" bestFit="1" customWidth="1"/>
    <col min="2" max="2" width="7.5" style="9" bestFit="1" customWidth="1"/>
    <col min="3" max="3" width="12.296875" style="9" bestFit="1" customWidth="1"/>
    <col min="4" max="4" width="10.09765625" style="9" bestFit="1" customWidth="1"/>
    <col min="5" max="5" width="12.296875" style="9" bestFit="1" customWidth="1"/>
    <col min="6" max="6" width="12.296875" style="9" customWidth="1"/>
    <col min="7" max="7" width="10.09765625" style="9" bestFit="1" customWidth="1"/>
    <col min="8" max="8" width="12.296875" style="9" bestFit="1" customWidth="1"/>
    <col min="9" max="9" width="13.8984375" style="9" bestFit="1" customWidth="1"/>
    <col min="10" max="10" width="10.09765625" style="9" bestFit="1" customWidth="1"/>
    <col min="11" max="11" width="13.5" style="9" bestFit="1" customWidth="1"/>
    <col min="12" max="12" width="12.296875" style="9" bestFit="1" customWidth="1"/>
    <col min="13" max="13" width="10.09765625" style="9" bestFit="1" customWidth="1"/>
    <col min="14" max="14" width="12.296875" style="9" bestFit="1" customWidth="1"/>
    <col min="15" max="15" width="6.5" style="9" bestFit="1" customWidth="1"/>
    <col min="16" max="16" width="1.69921875" style="9" customWidth="1"/>
    <col min="17" max="17" width="12.09765625" style="9" bestFit="1" customWidth="1"/>
    <col min="18" max="18" width="10" style="9" bestFit="1" customWidth="1"/>
    <col min="19" max="19" width="11.69921875" style="9" bestFit="1" customWidth="1"/>
    <col min="20" max="20" width="9.59765625" style="9" bestFit="1" customWidth="1"/>
    <col min="21" max="21" width="12.69921875" style="9" bestFit="1" customWidth="1"/>
    <col min="22" max="22" width="11.59765625" style="9" bestFit="1" customWidth="1"/>
    <col min="23" max="23" width="6.8984375" style="9" bestFit="1" customWidth="1"/>
    <col min="24" max="16384" width="9" style="9"/>
  </cols>
  <sheetData>
    <row r="1" spans="1:27" ht="45" customHeight="1" x14ac:dyDescent="0.25">
      <c r="A1" s="245" t="s">
        <v>19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S1" s="9">
        <f>生产成本月结表!J4</f>
        <v>-260261.58800083279</v>
      </c>
    </row>
    <row r="2" spans="1:27" ht="20.100000000000001" customHeight="1" x14ac:dyDescent="0.25">
      <c r="A2" s="246" t="s">
        <v>298</v>
      </c>
      <c r="B2" s="247"/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S2" s="9">
        <f>生产成本月结表!J5</f>
        <v>-13.417431649264472</v>
      </c>
    </row>
    <row r="3" spans="1:27" ht="22.5" customHeight="1" x14ac:dyDescent="0.25">
      <c r="A3" s="244" t="s">
        <v>20</v>
      </c>
      <c r="B3" s="244" t="s">
        <v>21</v>
      </c>
      <c r="C3" s="244" t="s">
        <v>22</v>
      </c>
      <c r="D3" s="244"/>
      <c r="E3" s="244"/>
      <c r="F3" s="244" t="s">
        <v>23</v>
      </c>
      <c r="G3" s="244"/>
      <c r="H3" s="244"/>
      <c r="I3" s="244" t="s">
        <v>24</v>
      </c>
      <c r="J3" s="244"/>
      <c r="K3" s="244"/>
      <c r="L3" s="244" t="s">
        <v>25</v>
      </c>
      <c r="M3" s="244"/>
      <c r="N3" s="244"/>
      <c r="O3" s="244" t="s">
        <v>26</v>
      </c>
      <c r="S3" s="9">
        <f>生产成本月结表!F20</f>
        <v>-338785.9168963327</v>
      </c>
    </row>
    <row r="4" spans="1:27" ht="22.5" customHeight="1" x14ac:dyDescent="0.25">
      <c r="A4" s="244"/>
      <c r="B4" s="244"/>
      <c r="C4" s="200" t="s">
        <v>27</v>
      </c>
      <c r="D4" s="200" t="s">
        <v>28</v>
      </c>
      <c r="E4" s="200" t="s">
        <v>29</v>
      </c>
      <c r="F4" s="200" t="s">
        <v>27</v>
      </c>
      <c r="G4" s="200" t="s">
        <v>28</v>
      </c>
      <c r="H4" s="200" t="s">
        <v>29</v>
      </c>
      <c r="I4" s="200" t="s">
        <v>27</v>
      </c>
      <c r="J4" s="200" t="s">
        <v>28</v>
      </c>
      <c r="K4" s="200" t="s">
        <v>29</v>
      </c>
      <c r="L4" s="200" t="s">
        <v>27</v>
      </c>
      <c r="M4" s="200" t="s">
        <v>28</v>
      </c>
      <c r="N4" s="200" t="s">
        <v>29</v>
      </c>
      <c r="O4" s="244"/>
    </row>
    <row r="5" spans="1:27" ht="39" customHeight="1" x14ac:dyDescent="0.25">
      <c r="A5" s="200" t="s">
        <v>193</v>
      </c>
      <c r="B5" s="200" t="s">
        <v>30</v>
      </c>
      <c r="C5" s="201"/>
      <c r="D5" s="202"/>
      <c r="E5" s="202"/>
      <c r="F5" s="201">
        <f>14.2+18.23</f>
        <v>32.43</v>
      </c>
      <c r="G5" s="202">
        <f>H5/F5</f>
        <v>3469.173913043478</v>
      </c>
      <c r="H5" s="202">
        <f>49262.83+63242.48</f>
        <v>112505.31</v>
      </c>
      <c r="I5" s="201">
        <v>32.43</v>
      </c>
      <c r="J5" s="203">
        <f t="shared" ref="J5" si="0">(E5+H5)/(C5+F5)</f>
        <v>3469.173913043478</v>
      </c>
      <c r="K5" s="202">
        <f t="shared" ref="K5" si="1">I5*J5</f>
        <v>112505.31</v>
      </c>
      <c r="L5" s="201">
        <f t="shared" ref="L5" si="2">C5+F5-I5</f>
        <v>0</v>
      </c>
      <c r="M5" s="202" t="e">
        <f t="shared" ref="M5" si="3">N5/L5</f>
        <v>#DIV/0!</v>
      </c>
      <c r="N5" s="202">
        <f t="shared" ref="N5" si="4">E5+H5-K5</f>
        <v>0</v>
      </c>
      <c r="O5" s="204"/>
      <c r="Q5" s="101">
        <f>91.247-91.247</f>
        <v>0</v>
      </c>
      <c r="R5" s="9" t="e">
        <f>S5/Q5</f>
        <v>#DIV/0!</v>
      </c>
      <c r="S5" s="9">
        <f>380000-380000</f>
        <v>0</v>
      </c>
      <c r="T5" s="101"/>
    </row>
    <row r="6" spans="1:27" ht="39" customHeight="1" x14ac:dyDescent="0.25">
      <c r="A6" s="210" t="s">
        <v>290</v>
      </c>
      <c r="B6" s="210" t="s">
        <v>30</v>
      </c>
      <c r="C6" s="201"/>
      <c r="D6" s="202"/>
      <c r="E6" s="202"/>
      <c r="F6" s="201">
        <f>153.837+44.435</f>
        <v>198.27199999999999</v>
      </c>
      <c r="G6" s="202">
        <f>H6/F6</f>
        <v>3141.9963988863778</v>
      </c>
      <c r="H6" s="202">
        <f>485337.17+137632.74</f>
        <v>622969.90999999992</v>
      </c>
      <c r="I6" s="201">
        <v>119.5</v>
      </c>
      <c r="J6" s="203">
        <f t="shared" ref="J6" si="5">(E6+H6)/(C6+F6)</f>
        <v>3141.9963988863778</v>
      </c>
      <c r="K6" s="202">
        <f t="shared" ref="K6" si="6">I6*J6</f>
        <v>375468.56966692215</v>
      </c>
      <c r="L6" s="201">
        <f>C6+F6-I6</f>
        <v>78.771999999999991</v>
      </c>
      <c r="M6" s="202">
        <f>N6/L6</f>
        <v>3141.9963988863783</v>
      </c>
      <c r="N6" s="202">
        <f>E6+H6-K6</f>
        <v>247501.34033307777</v>
      </c>
      <c r="O6" s="200"/>
      <c r="U6">
        <f>S1/J6</f>
        <v>-82.833191054285635</v>
      </c>
      <c r="V6"/>
      <c r="W6"/>
      <c r="X6" s="11"/>
      <c r="Y6"/>
      <c r="Z6"/>
      <c r="AA6"/>
    </row>
    <row r="7" spans="1:27" ht="39" customHeight="1" x14ac:dyDescent="0.25">
      <c r="A7" s="210" t="s">
        <v>291</v>
      </c>
      <c r="B7" s="210" t="s">
        <v>292</v>
      </c>
      <c r="C7" s="201">
        <v>77.516999999999996</v>
      </c>
      <c r="D7" s="202">
        <f>E7/C7</f>
        <v>3171.760130035992</v>
      </c>
      <c r="E7" s="202">
        <v>245865.33</v>
      </c>
      <c r="F7" s="201"/>
      <c r="G7" s="202"/>
      <c r="H7" s="202"/>
      <c r="I7" s="201">
        <f>C7</f>
        <v>77.516999999999996</v>
      </c>
      <c r="J7" s="203">
        <f>(E7+H7)/(C7+F7)</f>
        <v>3171.760130035992</v>
      </c>
      <c r="K7" s="202">
        <f>I7*J7</f>
        <v>245865.33</v>
      </c>
      <c r="L7" s="201">
        <f t="shared" ref="L7" si="7">C7+F7-I7</f>
        <v>0</v>
      </c>
      <c r="M7" s="202" t="e">
        <f t="shared" ref="M7" si="8">N7/L7</f>
        <v>#DIV/0!</v>
      </c>
      <c r="N7" s="202">
        <f t="shared" ref="N7" si="9">E7+H7-K7</f>
        <v>0</v>
      </c>
      <c r="O7" s="204"/>
      <c r="Q7" s="78"/>
    </row>
    <row r="8" spans="1:27" ht="39" customHeight="1" x14ac:dyDescent="0.25">
      <c r="A8" s="200" t="s">
        <v>164</v>
      </c>
      <c r="B8" s="200" t="s">
        <v>177</v>
      </c>
      <c r="C8" s="201">
        <v>172.19499999999971</v>
      </c>
      <c r="D8" s="202">
        <f t="shared" ref="D8:D9" si="10">E8/C8</f>
        <v>5.7800749150672299</v>
      </c>
      <c r="E8" s="202">
        <v>995.3</v>
      </c>
      <c r="F8" s="201">
        <f>6153.231</f>
        <v>6153.2309999999998</v>
      </c>
      <c r="G8" s="202">
        <f>H8/F8</f>
        <v>5.7522121305050966</v>
      </c>
      <c r="H8" s="202">
        <f>35394.69</f>
        <v>35394.69</v>
      </c>
      <c r="I8" s="201">
        <v>1610</v>
      </c>
      <c r="J8" s="203">
        <f t="shared" ref="J8:J11" si="11">(E8+H8)/(C8+F8)</f>
        <v>5.7529706299623156</v>
      </c>
      <c r="K8" s="221">
        <f t="shared" ref="K8:K11" si="12">I8*J8</f>
        <v>9262.2827142393289</v>
      </c>
      <c r="L8" s="201">
        <f t="shared" ref="L8:L11" si="13">C8+F8-I8</f>
        <v>4715.4259999999995</v>
      </c>
      <c r="M8" s="202">
        <f t="shared" ref="M8:M11" si="14">N8/L8</f>
        <v>5.7529706299623147</v>
      </c>
      <c r="N8" s="202">
        <f t="shared" ref="N8:N11" si="15">E8+H8-K8</f>
        <v>27127.707285760676</v>
      </c>
      <c r="O8" s="207"/>
      <c r="T8" s="11">
        <v>37.5</v>
      </c>
      <c r="U8"/>
      <c r="V8"/>
      <c r="W8"/>
      <c r="Y8"/>
      <c r="Z8"/>
      <c r="AA8"/>
    </row>
    <row r="9" spans="1:27" ht="39" customHeight="1" x14ac:dyDescent="0.25">
      <c r="A9" s="217" t="s">
        <v>234</v>
      </c>
      <c r="B9" s="217" t="s">
        <v>235</v>
      </c>
      <c r="C9" s="201">
        <v>47181</v>
      </c>
      <c r="D9" s="202">
        <f t="shared" si="10"/>
        <v>0.48672940378542212</v>
      </c>
      <c r="E9" s="202">
        <v>22964.38</v>
      </c>
      <c r="F9" s="201">
        <v>45454</v>
      </c>
      <c r="G9" s="202">
        <f>H9/F9</f>
        <v>0.48673142077704934</v>
      </c>
      <c r="H9" s="202">
        <v>22123.89</v>
      </c>
      <c r="I9" s="201">
        <v>31720</v>
      </c>
      <c r="J9" s="203">
        <f t="shared" si="11"/>
        <v>0.48673039347978631</v>
      </c>
      <c r="K9" s="221">
        <f t="shared" si="12"/>
        <v>15439.088081178821</v>
      </c>
      <c r="L9" s="201">
        <f t="shared" si="13"/>
        <v>60915</v>
      </c>
      <c r="M9" s="202">
        <f t="shared" si="14"/>
        <v>0.48673039347978631</v>
      </c>
      <c r="N9" s="202">
        <f t="shared" si="15"/>
        <v>29649.181918821181</v>
      </c>
      <c r="O9" s="205"/>
      <c r="R9" s="220" t="s">
        <v>258</v>
      </c>
      <c r="S9" s="214"/>
      <c r="T9" s="11"/>
      <c r="U9" s="171">
        <f>V9/J8</f>
        <v>5262.830521491831</v>
      </c>
      <c r="V9" s="155">
        <f>产品成本!B16*0.05</f>
        <v>30276.909420611759</v>
      </c>
      <c r="W9"/>
      <c r="Y9"/>
      <c r="Z9"/>
      <c r="AA9"/>
    </row>
    <row r="10" spans="1:27" ht="39" customHeight="1" x14ac:dyDescent="0.25">
      <c r="A10" s="210" t="s">
        <v>249</v>
      </c>
      <c r="B10" s="210" t="s">
        <v>250</v>
      </c>
      <c r="C10" s="201"/>
      <c r="D10" s="202"/>
      <c r="E10" s="202"/>
      <c r="F10" s="201"/>
      <c r="G10" s="202"/>
      <c r="H10" s="202"/>
      <c r="I10" s="201"/>
      <c r="J10" s="203"/>
      <c r="K10" s="221"/>
      <c r="L10" s="201"/>
      <c r="M10" s="202"/>
      <c r="N10" s="202"/>
      <c r="O10" s="205"/>
      <c r="Q10" s="102"/>
      <c r="U10" s="171">
        <f>V10/J9</f>
        <v>37322.809291796329</v>
      </c>
      <c r="V10" s="155">
        <f>产品成本!B16*0.03</f>
        <v>18166.145652367053</v>
      </c>
    </row>
    <row r="11" spans="1:27" ht="39" customHeight="1" x14ac:dyDescent="0.25">
      <c r="A11" s="200" t="s">
        <v>186</v>
      </c>
      <c r="B11" s="200" t="s">
        <v>187</v>
      </c>
      <c r="C11" s="201">
        <v>2263</v>
      </c>
      <c r="D11" s="202">
        <f>E11/C11</f>
        <v>2.6547812638091033</v>
      </c>
      <c r="E11" s="202">
        <v>6007.77</v>
      </c>
      <c r="F11" s="202">
        <v>6532</v>
      </c>
      <c r="G11" s="202">
        <f>H11/F11</f>
        <v>2.6548668095529702</v>
      </c>
      <c r="H11" s="202">
        <v>17341.59</v>
      </c>
      <c r="I11" s="201">
        <v>3500</v>
      </c>
      <c r="J11" s="203">
        <f t="shared" si="11"/>
        <v>2.6548447981807848</v>
      </c>
      <c r="K11" s="202">
        <f t="shared" si="12"/>
        <v>9291.9567936327476</v>
      </c>
      <c r="L11" s="201">
        <f t="shared" si="13"/>
        <v>5295</v>
      </c>
      <c r="M11" s="202">
        <f t="shared" si="14"/>
        <v>2.6548447981807843</v>
      </c>
      <c r="N11" s="202">
        <f t="shared" si="15"/>
        <v>14057.403206367253</v>
      </c>
      <c r="O11" s="207"/>
      <c r="Q11" s="102"/>
      <c r="U11" s="171" t="e">
        <f>V11/J10</f>
        <v>#DIV/0!</v>
      </c>
      <c r="V11" s="9">
        <f>产品成本!B16*0.02</f>
        <v>12110.763768244702</v>
      </c>
    </row>
    <row r="12" spans="1:27" ht="39" customHeight="1" x14ac:dyDescent="0.25">
      <c r="A12" s="210" t="s">
        <v>224</v>
      </c>
      <c r="B12" s="210" t="s">
        <v>178</v>
      </c>
      <c r="C12" s="206"/>
      <c r="D12" s="202"/>
      <c r="E12" s="202"/>
      <c r="F12" s="202"/>
      <c r="G12" s="202"/>
      <c r="H12" s="202"/>
      <c r="I12" s="201"/>
      <c r="J12" s="203"/>
      <c r="K12" s="202"/>
      <c r="L12" s="201"/>
      <c r="M12" s="202"/>
      <c r="N12" s="202"/>
      <c r="O12" s="207"/>
      <c r="Q12" s="102"/>
    </row>
    <row r="13" spans="1:27" ht="39" customHeight="1" x14ac:dyDescent="0.25">
      <c r="A13" s="210" t="s">
        <v>238</v>
      </c>
      <c r="B13" s="210" t="s">
        <v>239</v>
      </c>
      <c r="C13" s="200"/>
      <c r="D13" s="200"/>
      <c r="E13" s="202"/>
      <c r="F13" s="201"/>
      <c r="G13" s="202"/>
      <c r="H13" s="202"/>
      <c r="I13" s="201"/>
      <c r="J13" s="203"/>
      <c r="K13" s="202"/>
      <c r="L13" s="201"/>
      <c r="M13" s="202"/>
      <c r="N13" s="202"/>
      <c r="O13" s="205"/>
      <c r="T13" s="11"/>
      <c r="U13"/>
      <c r="V13"/>
      <c r="W13"/>
      <c r="Y13"/>
      <c r="Z13"/>
      <c r="AA13"/>
    </row>
    <row r="14" spans="1:27" ht="39" customHeight="1" x14ac:dyDescent="0.25">
      <c r="A14" s="210" t="s">
        <v>304</v>
      </c>
      <c r="B14" s="210" t="s">
        <v>30</v>
      </c>
      <c r="C14" s="200"/>
      <c r="D14" s="200"/>
      <c r="E14" s="202"/>
      <c r="F14" s="201">
        <v>87.011314999999968</v>
      </c>
      <c r="G14" s="202">
        <f>H14/F14</f>
        <v>2043.7238258008017</v>
      </c>
      <c r="H14" s="202">
        <f>210408.76/1.13*0.95502022</f>
        <v>177827.09757975861</v>
      </c>
      <c r="I14" s="201"/>
      <c r="J14" s="203"/>
      <c r="K14" s="202"/>
      <c r="L14" s="201">
        <f t="shared" ref="L14" si="16">C14+F14-I14</f>
        <v>87.011314999999968</v>
      </c>
      <c r="M14" s="202">
        <f t="shared" ref="M14" si="17">N14/L14</f>
        <v>2043.7238258008017</v>
      </c>
      <c r="N14" s="202">
        <f t="shared" ref="N14" si="18">E14+H14-K14</f>
        <v>177827.09757975861</v>
      </c>
      <c r="O14" s="205"/>
      <c r="T14" s="11"/>
      <c r="U14"/>
      <c r="V14"/>
      <c r="W14"/>
      <c r="Y14"/>
      <c r="Z14"/>
      <c r="AA14"/>
    </row>
    <row r="15" spans="1:27" ht="39" customHeight="1" x14ac:dyDescent="0.25">
      <c r="A15" s="212"/>
      <c r="B15" s="210"/>
      <c r="C15" s="201"/>
      <c r="D15" s="202"/>
      <c r="E15" s="202"/>
      <c r="F15" s="201"/>
      <c r="G15" s="202"/>
      <c r="H15" s="202"/>
      <c r="I15" s="201"/>
      <c r="J15" s="203"/>
      <c r="K15" s="202"/>
      <c r="L15" s="201"/>
      <c r="M15" s="202"/>
      <c r="N15" s="202"/>
      <c r="O15" s="205"/>
      <c r="T15" s="11"/>
      <c r="U15"/>
      <c r="V15"/>
      <c r="W15"/>
      <c r="Y15"/>
      <c r="Z15"/>
      <c r="AA15"/>
    </row>
    <row r="16" spans="1:27" ht="27.75" customHeight="1" x14ac:dyDescent="0.25">
      <c r="A16" s="208" t="s">
        <v>31</v>
      </c>
      <c r="B16" s="200"/>
      <c r="C16" s="200">
        <f>SUM(C5:C15)</f>
        <v>49693.712</v>
      </c>
      <c r="D16" s="200"/>
      <c r="E16" s="200">
        <f>SUM(E5:E15)</f>
        <v>275832.77999999997</v>
      </c>
      <c r="F16" s="206">
        <f>SUM(F5:F15)</f>
        <v>58456.944315000001</v>
      </c>
      <c r="G16" s="200"/>
      <c r="H16" s="200">
        <f>SUM(H5:H15)</f>
        <v>988162.48757975851</v>
      </c>
      <c r="I16" s="206">
        <f>SUM(I5:I15)</f>
        <v>37059.447</v>
      </c>
      <c r="J16" s="200"/>
      <c r="K16" s="200">
        <f>SUM(K5:K15)</f>
        <v>767832.53725597297</v>
      </c>
      <c r="L16" s="206">
        <f>SUM(L5:L15)</f>
        <v>71091.209315</v>
      </c>
      <c r="M16" s="200"/>
      <c r="N16" s="200">
        <f>SUM(N5:N15)</f>
        <v>496162.73032378551</v>
      </c>
      <c r="O16" s="200">
        <f>S5</f>
        <v>0</v>
      </c>
    </row>
    <row r="17" spans="1:15" ht="14.25" customHeight="1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6">
        <f>SUM(K15:K15)/(SUM(I15:I15)+(I8+I6)/1000)</f>
        <v>0</v>
      </c>
      <c r="K17" s="114"/>
      <c r="L17" s="114"/>
      <c r="M17" s="114"/>
      <c r="N17" s="114"/>
      <c r="O17" s="114"/>
    </row>
    <row r="18" spans="1:15" x14ac:dyDescent="0.25">
      <c r="A18" s="115"/>
      <c r="B18" s="115"/>
      <c r="C18" s="115"/>
      <c r="D18" s="115"/>
      <c r="E18" s="115"/>
      <c r="F18" s="115">
        <v>58369.933000000005</v>
      </c>
      <c r="G18" s="115"/>
      <c r="H18" s="115">
        <v>810335.3899999999</v>
      </c>
      <c r="I18" s="115"/>
      <c r="J18" s="115"/>
      <c r="K18" s="115"/>
      <c r="L18" s="115"/>
      <c r="M18" s="115"/>
      <c r="N18" s="115"/>
      <c r="O18" s="115"/>
    </row>
    <row r="19" spans="1:15" x14ac:dyDescent="0.25">
      <c r="A19" s="10"/>
      <c r="B19" s="10"/>
      <c r="C19" s="10"/>
      <c r="D19" s="10"/>
      <c r="E19" s="10"/>
      <c r="F19" s="10">
        <f>F18-F16</f>
        <v>-87.011314999996102</v>
      </c>
      <c r="G19" s="10"/>
      <c r="H19" s="10">
        <f>H18-H16</f>
        <v>-177827.09757975861</v>
      </c>
      <c r="I19" s="10"/>
      <c r="J19" s="99"/>
      <c r="K19" s="10"/>
      <c r="L19" s="10"/>
      <c r="M19" s="10"/>
      <c r="N19" s="10"/>
    </row>
    <row r="20" spans="1:15" x14ac:dyDescent="0.25">
      <c r="A20" s="10"/>
      <c r="B20" s="10"/>
      <c r="C20" s="10"/>
      <c r="D20" s="10"/>
      <c r="E20" s="10"/>
      <c r="F20" s="10"/>
      <c r="G20" s="10"/>
      <c r="H20" s="10"/>
      <c r="I20" s="10">
        <f>SUM(I5:I12)</f>
        <v>37059.447</v>
      </c>
      <c r="J20" s="99">
        <f>K20/I20</f>
        <v>20.718942116323888</v>
      </c>
      <c r="K20" s="10">
        <f>SUM(K5:K12)</f>
        <v>767832.53725597297</v>
      </c>
      <c r="L20" s="10"/>
      <c r="M20" s="10"/>
      <c r="N20" s="10">
        <f>测算表!G13/0.13-N16</f>
        <v>292841.73121467588</v>
      </c>
    </row>
    <row r="21" spans="1:15" x14ac:dyDescent="0.25">
      <c r="A21" s="10"/>
      <c r="B21" s="10"/>
      <c r="C21" s="10"/>
      <c r="D21" s="10"/>
      <c r="E21" s="10"/>
      <c r="F21" s="10"/>
      <c r="G21" s="10"/>
      <c r="H21" s="10"/>
      <c r="I21" s="180"/>
      <c r="L21" s="10"/>
      <c r="M21" s="10"/>
      <c r="N21" s="10"/>
    </row>
    <row r="22" spans="1:15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4" spans="1:15" x14ac:dyDescent="0.25">
      <c r="I24" s="9" t="s">
        <v>268</v>
      </c>
      <c r="J24" s="9">
        <v>1.4999999999999999E-2</v>
      </c>
      <c r="K24" s="9">
        <f>J24*产品成本!$B$16/J8</f>
        <v>1578.8491564475489</v>
      </c>
    </row>
    <row r="25" spans="1:15" x14ac:dyDescent="0.25">
      <c r="I25" s="9" t="s">
        <v>269</v>
      </c>
      <c r="J25" s="9">
        <v>2.5000000000000001E-2</v>
      </c>
      <c r="K25" s="9">
        <f>J25*产品成本!$B$16/J9</f>
        <v>31102.341076496949</v>
      </c>
    </row>
    <row r="26" spans="1:15" x14ac:dyDescent="0.25">
      <c r="I26" s="9" t="s">
        <v>270</v>
      </c>
      <c r="J26" s="9">
        <v>7.0000000000000001E-3</v>
      </c>
      <c r="K26" s="9" t="e">
        <f>J26*产品成本!$B$16/J10</f>
        <v>#DIV/0!</v>
      </c>
    </row>
    <row r="27" spans="1:15" x14ac:dyDescent="0.25">
      <c r="I27" s="9" t="s">
        <v>271</v>
      </c>
      <c r="J27" s="9">
        <v>1.4999999999999999E-2</v>
      </c>
      <c r="K27" s="9">
        <f>J27*产品成本!$B$16/J11</f>
        <v>3421.3197066765047</v>
      </c>
    </row>
    <row r="28" spans="1:15" x14ac:dyDescent="0.25">
      <c r="I28" s="9" t="s">
        <v>272</v>
      </c>
      <c r="J28" s="9">
        <v>0.02</v>
      </c>
      <c r="K28" s="9" t="e">
        <f>J28*产品成本!$B$16/J12</f>
        <v>#DIV/0!</v>
      </c>
    </row>
  </sheetData>
  <mergeCells count="9">
    <mergeCell ref="L3:N3"/>
    <mergeCell ref="O3:O4"/>
    <mergeCell ref="A1:O1"/>
    <mergeCell ref="A2:O2"/>
    <mergeCell ref="A3:A4"/>
    <mergeCell ref="B3:B4"/>
    <mergeCell ref="C3:E3"/>
    <mergeCell ref="F3:H3"/>
    <mergeCell ref="I3:K3"/>
  </mergeCells>
  <phoneticPr fontId="2" type="noConversion"/>
  <pageMargins left="0.39370078740157483" right="0.39370078740157483" top="0.39370078740157483" bottom="0.39370078740157483" header="0.19685039370078741" footer="0.19685039370078741"/>
  <pageSetup paperSize="11" scale="52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BDD2F-3E6D-4ABE-B29E-FA4997BBAF4D}">
  <dimension ref="A1:M54"/>
  <sheetViews>
    <sheetView topLeftCell="A4" zoomScaleNormal="100" workbookViewId="0">
      <selection activeCell="E18" sqref="E18"/>
    </sheetView>
  </sheetViews>
  <sheetFormatPr defaultRowHeight="15.6" x14ac:dyDescent="0.25"/>
  <cols>
    <col min="1" max="1" width="16.19921875" style="79" customWidth="1"/>
    <col min="2" max="2" width="15.5" bestFit="1" customWidth="1"/>
    <col min="3" max="3" width="13.19921875" bestFit="1" customWidth="1"/>
    <col min="4" max="4" width="12.8984375" customWidth="1"/>
    <col min="5" max="5" width="17.8984375" bestFit="1" customWidth="1"/>
    <col min="6" max="6" width="11.5" bestFit="1" customWidth="1"/>
    <col min="7" max="7" width="13.19921875" bestFit="1" customWidth="1"/>
    <col min="8" max="8" width="16.59765625" bestFit="1" customWidth="1"/>
    <col min="9" max="9" width="17.8984375" bestFit="1" customWidth="1"/>
    <col min="10" max="11" width="16.59765625" bestFit="1" customWidth="1"/>
    <col min="12" max="12" width="15.5" bestFit="1" customWidth="1"/>
    <col min="13" max="13" width="9.8984375" bestFit="1" customWidth="1"/>
  </cols>
  <sheetData>
    <row r="1" spans="1:12" x14ac:dyDescent="0.25">
      <c r="A1" s="248" t="s">
        <v>106</v>
      </c>
      <c r="B1" s="249"/>
      <c r="E1" s="81">
        <f>B2+D4</f>
        <v>951804.62000000011</v>
      </c>
      <c r="H1" s="188" t="s">
        <v>160</v>
      </c>
      <c r="I1" s="188" t="s">
        <v>29</v>
      </c>
      <c r="J1" s="188" t="s">
        <v>159</v>
      </c>
    </row>
    <row r="2" spans="1:12" x14ac:dyDescent="0.25">
      <c r="A2" s="80" t="s">
        <v>0</v>
      </c>
      <c r="B2" s="1">
        <f>销售成本!E12+H7</f>
        <v>842304.9800000001</v>
      </c>
      <c r="C2" s="38"/>
      <c r="G2" s="188" t="s">
        <v>206</v>
      </c>
      <c r="H2" s="155"/>
      <c r="I2" s="155"/>
      <c r="J2" s="155">
        <f>H2-I2</f>
        <v>0</v>
      </c>
      <c r="K2" s="155">
        <f>H2/1.13</f>
        <v>0</v>
      </c>
    </row>
    <row r="3" spans="1:12" x14ac:dyDescent="0.25">
      <c r="A3" s="80" t="s">
        <v>2</v>
      </c>
      <c r="B3" s="1">
        <f>销售成本!J12+K7</f>
        <v>772341.43722638255</v>
      </c>
      <c r="C3" s="38" t="s">
        <v>1</v>
      </c>
      <c r="D3" s="39">
        <f>(D4-F4-F5)</f>
        <v>15501.039999999994</v>
      </c>
      <c r="E3" s="39"/>
    </row>
    <row r="4" spans="1:12" x14ac:dyDescent="0.25">
      <c r="A4" s="80"/>
      <c r="B4" s="1"/>
      <c r="C4" s="38" t="s">
        <v>69</v>
      </c>
      <c r="D4" s="39">
        <v>109499.64</v>
      </c>
      <c r="E4" s="39" t="s">
        <v>70</v>
      </c>
      <c r="F4" s="39">
        <f>F13</f>
        <v>93998.6</v>
      </c>
      <c r="H4" s="109">
        <f>生产成本月结表!J4</f>
        <v>-260261.58800083279</v>
      </c>
    </row>
    <row r="5" spans="1:12" x14ac:dyDescent="0.25">
      <c r="A5" s="80" t="s">
        <v>56</v>
      </c>
      <c r="B5" s="1">
        <f>B6+B7+B8</f>
        <v>617046.65248884016</v>
      </c>
      <c r="C5" s="83"/>
      <c r="D5" s="3"/>
      <c r="E5" s="39" t="s">
        <v>98</v>
      </c>
      <c r="F5" s="38"/>
    </row>
    <row r="6" spans="1:12" x14ac:dyDescent="0.25">
      <c r="A6" s="80" t="s">
        <v>55</v>
      </c>
      <c r="B6" s="1">
        <f>产品成本!B5</f>
        <v>326101.14248884015</v>
      </c>
      <c r="C6" s="96"/>
      <c r="D6" s="97"/>
      <c r="E6" s="38"/>
      <c r="F6" s="39"/>
      <c r="H6" s="57" t="s">
        <v>29</v>
      </c>
      <c r="I6" s="57" t="s">
        <v>159</v>
      </c>
      <c r="J6" s="57" t="s">
        <v>160</v>
      </c>
      <c r="K6" s="109"/>
      <c r="L6" s="109"/>
    </row>
    <row r="7" spans="1:12" x14ac:dyDescent="0.25">
      <c r="A7" s="80" t="s">
        <v>3</v>
      </c>
      <c r="B7" s="1">
        <v>75100</v>
      </c>
      <c r="C7" s="96"/>
      <c r="D7" s="98"/>
      <c r="E7" s="154">
        <f>生产成本月结表!J5</f>
        <v>-13.417431649264472</v>
      </c>
      <c r="F7" s="3"/>
      <c r="G7" s="57" t="s">
        <v>158</v>
      </c>
      <c r="H7" s="106"/>
      <c r="I7" s="106"/>
      <c r="J7" s="106">
        <f>H7+I7</f>
        <v>0</v>
      </c>
      <c r="K7" s="155">
        <f>废料!X119*0</f>
        <v>0</v>
      </c>
      <c r="L7" s="109"/>
    </row>
    <row r="8" spans="1:12" x14ac:dyDescent="0.25">
      <c r="A8" s="80" t="s">
        <v>4</v>
      </c>
      <c r="B8" s="1">
        <f>B9+B10+B11</f>
        <v>215845.51</v>
      </c>
      <c r="G8" s="57" t="s">
        <v>182</v>
      </c>
      <c r="H8" s="106"/>
      <c r="I8" s="106"/>
      <c r="J8" s="109">
        <f>H8+I8</f>
        <v>0</v>
      </c>
    </row>
    <row r="9" spans="1:12" x14ac:dyDescent="0.25">
      <c r="A9" s="80" t="s">
        <v>5</v>
      </c>
      <c r="B9" s="1">
        <v>3567.6</v>
      </c>
      <c r="D9" s="152" t="s">
        <v>153</v>
      </c>
      <c r="E9" s="152" t="s">
        <v>154</v>
      </c>
      <c r="G9" s="57" t="s">
        <v>180</v>
      </c>
      <c r="H9" s="106">
        <f>H10-H7-H8</f>
        <v>0</v>
      </c>
      <c r="I9" s="106">
        <f>I10-I7-I8</f>
        <v>0</v>
      </c>
      <c r="J9" s="106">
        <f>J10-J7-J8</f>
        <v>0</v>
      </c>
      <c r="L9" s="109"/>
    </row>
    <row r="10" spans="1:12" x14ac:dyDescent="0.25">
      <c r="A10" s="112" t="s">
        <v>155</v>
      </c>
      <c r="B10" s="1">
        <f>电费!E64</f>
        <v>8372.91</v>
      </c>
      <c r="C10" s="170"/>
      <c r="D10" s="151">
        <f>生产成本月结表!B6</f>
        <v>2376.3000000000002</v>
      </c>
      <c r="E10" s="151">
        <f>生产成本月结表!E6</f>
        <v>3837.7316577314505</v>
      </c>
      <c r="H10" s="109"/>
      <c r="I10" s="109"/>
      <c r="J10" s="109"/>
    </row>
    <row r="11" spans="1:12" x14ac:dyDescent="0.25">
      <c r="A11" s="112" t="s">
        <v>156</v>
      </c>
      <c r="B11" s="1">
        <f>产品成本!B11-生产成本月结表!B8</f>
        <v>203905</v>
      </c>
      <c r="C11" s="3"/>
      <c r="H11" s="109"/>
      <c r="K11" s="109"/>
    </row>
    <row r="12" spans="1:12" x14ac:dyDescent="0.25">
      <c r="A12" s="80"/>
      <c r="B12" s="1"/>
      <c r="D12" s="55" t="s">
        <v>88</v>
      </c>
      <c r="E12" s="55" t="s">
        <v>89</v>
      </c>
      <c r="F12" s="55" t="s">
        <v>101</v>
      </c>
      <c r="G12" s="55" t="s">
        <v>90</v>
      </c>
      <c r="K12" s="184"/>
    </row>
    <row r="13" spans="1:12" x14ac:dyDescent="0.25">
      <c r="A13" s="80" t="s">
        <v>6</v>
      </c>
      <c r="B13" s="1">
        <f>B14+B15+B16+B17</f>
        <v>930.04239999999959</v>
      </c>
      <c r="D13" s="56">
        <v>89965.290000000008</v>
      </c>
      <c r="E13" s="56">
        <f>E14+1088.48+68.72+103.08</f>
        <v>106603.89</v>
      </c>
      <c r="F13" s="56">
        <v>93998.6</v>
      </c>
      <c r="G13" s="56">
        <f>D13+E13-F13</f>
        <v>102570.57999999999</v>
      </c>
      <c r="J13" s="109"/>
      <c r="K13" s="184"/>
    </row>
    <row r="14" spans="1:12" x14ac:dyDescent="0.25">
      <c r="A14" s="80" t="s">
        <v>7</v>
      </c>
      <c r="B14" s="156">
        <f>D3*0.07/2-0.01</f>
        <v>542.52639999999985</v>
      </c>
      <c r="D14" s="57"/>
      <c r="E14" s="56">
        <v>105343.61</v>
      </c>
      <c r="F14" s="57"/>
      <c r="G14" s="56"/>
      <c r="H14" s="109"/>
      <c r="I14" s="109"/>
      <c r="J14" s="109"/>
      <c r="K14" s="184"/>
    </row>
    <row r="15" spans="1:12" x14ac:dyDescent="0.25">
      <c r="A15" s="80" t="s">
        <v>8</v>
      </c>
      <c r="B15" s="156">
        <f>IF(B2&lt;100000,0,D3*0.03/2)-0.01</f>
        <v>232.5055999999999</v>
      </c>
      <c r="D15" s="57"/>
      <c r="E15" s="57"/>
      <c r="F15" s="58"/>
      <c r="G15" s="56">
        <v>102570.57999999999</v>
      </c>
      <c r="H15" s="92">
        <f>G13-G15</f>
        <v>0</v>
      </c>
    </row>
    <row r="16" spans="1:12" x14ac:dyDescent="0.25">
      <c r="A16" s="80" t="s">
        <v>9</v>
      </c>
      <c r="B16" s="156">
        <f>IF(B2&lt;100000,0,D3*0.02/2)</f>
        <v>155.01039999999995</v>
      </c>
      <c r="D16" s="57"/>
      <c r="E16" s="57"/>
      <c r="F16" s="55"/>
    </row>
    <row r="17" spans="1:13" x14ac:dyDescent="0.25">
      <c r="A17" s="112"/>
      <c r="B17" s="1"/>
      <c r="D17" s="57" t="s">
        <v>111</v>
      </c>
      <c r="E17" s="109">
        <f>E28/12*12</f>
        <v>8369391.9800000004</v>
      </c>
      <c r="F17" s="109"/>
      <c r="K17" s="2"/>
    </row>
    <row r="18" spans="1:13" x14ac:dyDescent="0.25">
      <c r="A18" s="112" t="s">
        <v>191</v>
      </c>
      <c r="B18" s="1">
        <f>SUM(B19:B21)</f>
        <v>21693.9</v>
      </c>
      <c r="D18" s="57" t="s">
        <v>112</v>
      </c>
      <c r="E18" s="106">
        <v>222369.28</v>
      </c>
      <c r="F18" s="3"/>
      <c r="G18" s="63"/>
      <c r="H18" s="93"/>
      <c r="I18" s="8"/>
      <c r="K18" s="2"/>
    </row>
    <row r="19" spans="1:13" x14ac:dyDescent="0.25">
      <c r="A19" s="112" t="s">
        <v>192</v>
      </c>
      <c r="B19" s="1">
        <v>1908</v>
      </c>
      <c r="D19" s="110" t="s">
        <v>114</v>
      </c>
      <c r="E19" s="107"/>
      <c r="F19" s="83"/>
      <c r="G19" s="64"/>
      <c r="H19" s="183"/>
      <c r="I19" s="183"/>
      <c r="K19" s="2"/>
    </row>
    <row r="20" spans="1:13" x14ac:dyDescent="0.25">
      <c r="A20" s="112" t="s">
        <v>297</v>
      </c>
      <c r="B20" s="1">
        <f>721+1884.9</f>
        <v>2605.9</v>
      </c>
      <c r="D20" s="110" t="s">
        <v>116</v>
      </c>
      <c r="E20" s="108">
        <f>E18-E19</f>
        <v>222369.28</v>
      </c>
      <c r="F20" s="91"/>
      <c r="G20" s="65"/>
      <c r="H20" s="8"/>
      <c r="I20" s="8"/>
      <c r="K20" s="2"/>
    </row>
    <row r="21" spans="1:13" x14ac:dyDescent="0.25">
      <c r="A21" s="112" t="s">
        <v>199</v>
      </c>
      <c r="B21" s="1">
        <f>6872+10308</f>
        <v>17180</v>
      </c>
      <c r="D21" s="110" t="s">
        <v>115</v>
      </c>
      <c r="E21" s="108">
        <f>IF(E20&lt;=30000,E20*0.05,IF(E20&lt;=90000,E20*0.1-1500,IF(E20&lt;=300000,E20*0.2-10500,IF(E20&lt;=500000,E20*0.3-40500,E20*0.35-65500))))</f>
        <v>33973.856</v>
      </c>
      <c r="F21" s="91"/>
      <c r="H21" s="109"/>
      <c r="J21" s="134"/>
      <c r="K21" s="2"/>
      <c r="L21" s="135"/>
      <c r="M21" s="2"/>
    </row>
    <row r="22" spans="1:13" x14ac:dyDescent="0.25">
      <c r="A22" s="80"/>
      <c r="B22" s="1"/>
      <c r="D22" s="110" t="s">
        <v>119</v>
      </c>
      <c r="E22" s="109">
        <f>E21/2</f>
        <v>16986.928</v>
      </c>
      <c r="F22" s="235">
        <f>E22/E17</f>
        <v>2.0296489924946735E-3</v>
      </c>
      <c r="G22" s="109">
        <f>E17*0.00206870879425307-E22</f>
        <v>326.90679157711202</v>
      </c>
      <c r="H22" s="109"/>
    </row>
    <row r="23" spans="1:13" x14ac:dyDescent="0.25">
      <c r="A23" s="80" t="s">
        <v>10</v>
      </c>
      <c r="B23" s="1">
        <f>B2-B3-B13-B18</f>
        <v>47339.600373617541</v>
      </c>
      <c r="D23" s="147" t="s">
        <v>117</v>
      </c>
      <c r="E23" s="148">
        <f>1366.83+2284.43+5819.66</f>
        <v>9470.92</v>
      </c>
      <c r="F23" s="84"/>
      <c r="J23" s="79"/>
      <c r="K23" s="2"/>
    </row>
    <row r="24" spans="1:13" x14ac:dyDescent="0.25">
      <c r="A24" s="80"/>
      <c r="B24" s="1"/>
      <c r="D24" s="147" t="s">
        <v>152</v>
      </c>
      <c r="E24" s="148"/>
      <c r="F24" s="84"/>
      <c r="J24" s="79"/>
      <c r="K24" s="2"/>
      <c r="L24" s="2"/>
      <c r="M24" s="136"/>
    </row>
    <row r="25" spans="1:13" x14ac:dyDescent="0.25">
      <c r="A25" s="80" t="s">
        <v>11</v>
      </c>
      <c r="B25" s="1">
        <f>SUM(B26:B35)</f>
        <v>13623.65</v>
      </c>
      <c r="D25" s="110" t="s">
        <v>118</v>
      </c>
      <c r="E25" s="107">
        <f>E21-E22-E23-E24</f>
        <v>7516.0079999999998</v>
      </c>
      <c r="F25" s="109"/>
      <c r="G25" s="213">
        <v>0.93645175000000003</v>
      </c>
      <c r="K25" s="2"/>
      <c r="L25" s="2"/>
      <c r="M25" s="137"/>
    </row>
    <row r="26" spans="1:13" x14ac:dyDescent="0.25">
      <c r="A26" s="80" t="s">
        <v>3</v>
      </c>
      <c r="B26" s="1">
        <v>5000</v>
      </c>
      <c r="G26" s="233"/>
      <c r="H26" s="79"/>
      <c r="I26" s="57" t="s">
        <v>209</v>
      </c>
      <c r="K26" s="2"/>
      <c r="M26" s="138"/>
    </row>
    <row r="27" spans="1:13" x14ac:dyDescent="0.25">
      <c r="A27" s="80" t="s">
        <v>12</v>
      </c>
      <c r="B27" s="1"/>
      <c r="I27" s="109">
        <f>D3+B14+B15+B16+B35+E38</f>
        <v>35263.297437361747</v>
      </c>
      <c r="K27" s="2"/>
      <c r="L27" s="2"/>
      <c r="M27" s="9"/>
    </row>
    <row r="28" spans="1:13" x14ac:dyDescent="0.25">
      <c r="A28" s="80" t="s">
        <v>13</v>
      </c>
      <c r="B28" s="1"/>
      <c r="D28" s="57" t="s">
        <v>110</v>
      </c>
      <c r="E28" s="106">
        <f>生产成本月结表!B14</f>
        <v>8369391.9800000004</v>
      </c>
    </row>
    <row r="29" spans="1:13" x14ac:dyDescent="0.25">
      <c r="A29" s="112" t="s">
        <v>126</v>
      </c>
      <c r="B29" s="1"/>
      <c r="D29" s="57" t="s">
        <v>113</v>
      </c>
      <c r="E29" s="109">
        <f>E18/12*12</f>
        <v>222369.28000000003</v>
      </c>
      <c r="F29" s="57"/>
      <c r="I29" s="155"/>
    </row>
    <row r="30" spans="1:13" x14ac:dyDescent="0.25">
      <c r="A30" s="190" t="s">
        <v>184</v>
      </c>
      <c r="B30" s="1"/>
      <c r="D30" s="57" t="s">
        <v>120</v>
      </c>
      <c r="E30" s="3">
        <f>203838.52+B47</f>
        <v>249294.85037361755</v>
      </c>
      <c r="F30" s="109"/>
      <c r="G30" s="139">
        <f>E28-E30</f>
        <v>8120097.1296263831</v>
      </c>
    </row>
    <row r="31" spans="1:13" x14ac:dyDescent="0.25">
      <c r="A31" s="190" t="s">
        <v>127</v>
      </c>
      <c r="B31" s="1"/>
      <c r="D31" s="57" t="s">
        <v>121</v>
      </c>
      <c r="E31" s="145">
        <f>E30-E29</f>
        <v>26925.57037361752</v>
      </c>
    </row>
    <row r="32" spans="1:13" x14ac:dyDescent="0.25">
      <c r="A32" s="190" t="s">
        <v>218</v>
      </c>
      <c r="B32" s="1"/>
      <c r="D32" s="110" t="s">
        <v>114</v>
      </c>
      <c r="E32" s="107"/>
    </row>
    <row r="33" spans="1:6" x14ac:dyDescent="0.25">
      <c r="A33" s="112" t="s">
        <v>125</v>
      </c>
      <c r="B33" s="156"/>
      <c r="C33" s="155">
        <v>7500</v>
      </c>
      <c r="D33" s="110" t="s">
        <v>116</v>
      </c>
      <c r="E33" s="108">
        <f>E30-E32</f>
        <v>249294.85037361755</v>
      </c>
    </row>
    <row r="34" spans="1:6" x14ac:dyDescent="0.25">
      <c r="A34" s="112" t="s">
        <v>123</v>
      </c>
      <c r="B34" s="156"/>
      <c r="C34" s="155">
        <v>3746.4</v>
      </c>
      <c r="D34" s="110" t="s">
        <v>115</v>
      </c>
      <c r="E34" s="106">
        <f>IF(E33&lt;=30000,E33*0.05,IF(E33&lt;=90000,E33*0.1-1500,IF(E33&lt;=300000,E33*0.2-10500,IF(E33&lt;=500000,E33*0.3-40500,E33*0.35-65500))))</f>
        <v>39358.970074723511</v>
      </c>
    </row>
    <row r="35" spans="1:6" x14ac:dyDescent="0.25">
      <c r="A35" s="112" t="s">
        <v>124</v>
      </c>
      <c r="B35" s="156">
        <v>8623.65</v>
      </c>
      <c r="C35" s="155"/>
      <c r="D35" s="110" t="s">
        <v>119</v>
      </c>
      <c r="E35" s="109">
        <f>E34/2</f>
        <v>19679.485037361756</v>
      </c>
      <c r="F35" s="234">
        <f>E35/E28</f>
        <v>2.3513637650607153E-3</v>
      </c>
    </row>
    <row r="36" spans="1:6" x14ac:dyDescent="0.25">
      <c r="A36" s="112"/>
      <c r="B36" s="1"/>
      <c r="D36" s="110" t="s">
        <v>117</v>
      </c>
      <c r="E36" s="107">
        <f>E23</f>
        <v>9470.92</v>
      </c>
    </row>
    <row r="37" spans="1:6" x14ac:dyDescent="0.25">
      <c r="A37" s="80" t="s">
        <v>14</v>
      </c>
      <c r="B37" s="1">
        <f>B39-B38+B40+B41-B42</f>
        <v>-11750.77</v>
      </c>
      <c r="D37" s="147" t="s">
        <v>152</v>
      </c>
      <c r="E37" s="148">
        <f>E24</f>
        <v>0</v>
      </c>
    </row>
    <row r="38" spans="1:6" x14ac:dyDescent="0.25">
      <c r="A38" s="80" t="s">
        <v>18</v>
      </c>
      <c r="B38" s="1">
        <v>50.08</v>
      </c>
      <c r="D38" s="110" t="s">
        <v>118</v>
      </c>
      <c r="E38" s="111">
        <f>E34-E35-E36-E37</f>
        <v>10208.565037361755</v>
      </c>
    </row>
    <row r="39" spans="1:6" x14ac:dyDescent="0.25">
      <c r="A39" s="80" t="s">
        <v>17</v>
      </c>
      <c r="B39" s="1">
        <f>2.5+94.5+10</f>
        <v>107</v>
      </c>
      <c r="D39" s="3"/>
      <c r="E39" s="109">
        <f>E25-E38</f>
        <v>-2692.5570373617556</v>
      </c>
    </row>
    <row r="40" spans="1:6" x14ac:dyDescent="0.25">
      <c r="A40" s="112" t="s">
        <v>122</v>
      </c>
      <c r="B40" s="1">
        <v>3150</v>
      </c>
      <c r="D40" s="3"/>
    </row>
    <row r="41" spans="1:6" x14ac:dyDescent="0.25">
      <c r="A41" s="189" t="s">
        <v>207</v>
      </c>
      <c r="B41" s="1"/>
      <c r="D41" s="3"/>
    </row>
    <row r="42" spans="1:6" x14ac:dyDescent="0.25">
      <c r="A42" s="190" t="s">
        <v>217</v>
      </c>
      <c r="B42" s="1">
        <f>14957.69</f>
        <v>14957.69</v>
      </c>
    </row>
    <row r="43" spans="1:6" x14ac:dyDescent="0.25">
      <c r="A43" s="80"/>
      <c r="B43" s="1"/>
    </row>
    <row r="44" spans="1:6" x14ac:dyDescent="0.25">
      <c r="A44" s="80" t="s">
        <v>100</v>
      </c>
      <c r="B44" s="1"/>
      <c r="D44" s="3"/>
    </row>
    <row r="45" spans="1:6" x14ac:dyDescent="0.25">
      <c r="A45" s="80" t="s">
        <v>102</v>
      </c>
      <c r="B45" s="1">
        <f>10.39</f>
        <v>10.39</v>
      </c>
    </row>
    <row r="46" spans="1:6" x14ac:dyDescent="0.25">
      <c r="A46" s="80"/>
      <c r="B46" s="1"/>
    </row>
    <row r="47" spans="1:6" x14ac:dyDescent="0.25">
      <c r="A47" s="80" t="s">
        <v>15</v>
      </c>
      <c r="B47" s="1">
        <f>B23-B25-B37+B44-B45</f>
        <v>45456.330373617544</v>
      </c>
    </row>
    <row r="48" spans="1:6" x14ac:dyDescent="0.25">
      <c r="A48" s="80"/>
      <c r="B48" s="1"/>
    </row>
    <row r="49" spans="1:2" x14ac:dyDescent="0.25">
      <c r="A49" s="80" t="s">
        <v>16</v>
      </c>
      <c r="B49" s="1">
        <f>B47</f>
        <v>45456.330373617544</v>
      </c>
    </row>
    <row r="54" spans="1:2" x14ac:dyDescent="0.25">
      <c r="B54" s="3"/>
    </row>
  </sheetData>
  <mergeCells count="1">
    <mergeCell ref="A1:B1"/>
  </mergeCells>
  <phoneticPr fontId="2" type="noConversion"/>
  <pageMargins left="0.15748031496062992" right="0.15748031496062992" top="0.98425196850393704" bottom="0.98425196850393704" header="0.51181102362204722" footer="0.51181102362204722"/>
  <pageSetup paperSize="9" scale="95" orientation="portrait" verticalDpi="18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C10F-70B6-4BC4-A548-42BB2BC3E2A2}">
  <sheetPr>
    <pageSetUpPr fitToPage="1"/>
  </sheetPr>
  <dimension ref="A1:B36"/>
  <sheetViews>
    <sheetView zoomScale="115" zoomScaleNormal="115" workbookViewId="0">
      <selection activeCell="B5" sqref="B5"/>
    </sheetView>
  </sheetViews>
  <sheetFormatPr defaultColWidth="3.59765625" defaultRowHeight="15.6" x14ac:dyDescent="0.25"/>
  <cols>
    <col min="1" max="2" width="33" customWidth="1"/>
  </cols>
  <sheetData>
    <row r="1" spans="1:2" ht="51" customHeight="1" x14ac:dyDescent="0.25">
      <c r="A1" s="250" t="s">
        <v>107</v>
      </c>
      <c r="B1" s="250"/>
    </row>
    <row r="2" spans="1:2" ht="51" customHeight="1" x14ac:dyDescent="0.25">
      <c r="A2" s="251" t="s">
        <v>296</v>
      </c>
      <c r="B2" s="250"/>
    </row>
    <row r="3" spans="1:2" ht="49.5" customHeight="1" x14ac:dyDescent="0.25">
      <c r="A3" s="4"/>
      <c r="B3" s="69" t="s">
        <v>95</v>
      </c>
    </row>
    <row r="4" spans="1:2" ht="69" customHeight="1" x14ac:dyDescent="0.25">
      <c r="A4" s="67" t="s">
        <v>91</v>
      </c>
      <c r="B4" s="67" t="s">
        <v>92</v>
      </c>
    </row>
    <row r="5" spans="1:2" ht="69" customHeight="1" x14ac:dyDescent="0.25">
      <c r="A5" s="67" t="s">
        <v>108</v>
      </c>
      <c r="B5" s="68">
        <f>测算表!B7</f>
        <v>75100</v>
      </c>
    </row>
    <row r="6" spans="1:2" ht="69" customHeight="1" x14ac:dyDescent="0.25">
      <c r="A6" s="67" t="s">
        <v>93</v>
      </c>
      <c r="B6" s="68">
        <f>测算表!B26</f>
        <v>5000</v>
      </c>
    </row>
    <row r="7" spans="1:2" ht="69" customHeight="1" x14ac:dyDescent="0.25">
      <c r="A7" s="67" t="s">
        <v>94</v>
      </c>
      <c r="B7" s="68">
        <f>B5+B6</f>
        <v>80100</v>
      </c>
    </row>
    <row r="8" spans="1:2" ht="13.5" customHeight="1" x14ac:dyDescent="0.25">
      <c r="A8" s="4"/>
    </row>
    <row r="9" spans="1:2" ht="13.5" customHeight="1" x14ac:dyDescent="0.25"/>
    <row r="10" spans="1:2" ht="13.5" customHeight="1" x14ac:dyDescent="0.25"/>
    <row r="11" spans="1:2" ht="13.5" customHeight="1" x14ac:dyDescent="0.25">
      <c r="B11" s="171">
        <f>B5/4500</f>
        <v>16.68888888888889</v>
      </c>
    </row>
    <row r="12" spans="1:2" ht="13.5" customHeight="1" x14ac:dyDescent="0.25"/>
    <row r="13" spans="1:2" ht="13.5" customHeight="1" x14ac:dyDescent="0.25"/>
    <row r="14" spans="1:2" ht="13.5" customHeight="1" x14ac:dyDescent="0.25"/>
    <row r="15" spans="1:2" ht="13.5" customHeight="1" x14ac:dyDescent="0.25"/>
    <row r="16" spans="1:2" ht="13.5" customHeight="1" x14ac:dyDescent="0.25">
      <c r="A16" s="85"/>
      <c r="B16" s="85"/>
    </row>
    <row r="17" spans="1:2" ht="13.5" customHeight="1" x14ac:dyDescent="0.25">
      <c r="A17" s="85"/>
      <c r="B17" s="85"/>
    </row>
    <row r="18" spans="1:2" ht="13.5" customHeight="1" x14ac:dyDescent="0.25">
      <c r="A18" s="86"/>
      <c r="B18" s="86"/>
    </row>
    <row r="19" spans="1:2" ht="13.5" customHeight="1" x14ac:dyDescent="0.25">
      <c r="A19" s="86"/>
      <c r="B19" s="86"/>
    </row>
    <row r="20" spans="1:2" ht="13.5" customHeight="1" x14ac:dyDescent="0.25">
      <c r="A20" s="5"/>
      <c r="B20" s="5"/>
    </row>
    <row r="21" spans="1:2" ht="13.5" customHeight="1" x14ac:dyDescent="0.25">
      <c r="A21" s="5"/>
      <c r="B21" s="6"/>
    </row>
    <row r="22" spans="1:2" ht="13.5" customHeight="1" x14ac:dyDescent="0.25">
      <c r="A22" s="5"/>
      <c r="B22" s="6"/>
    </row>
    <row r="23" spans="1:2" ht="13.5" customHeight="1" x14ac:dyDescent="0.25">
      <c r="A23" s="5"/>
      <c r="B23" s="7"/>
    </row>
    <row r="24" spans="1:2" ht="13.5" customHeight="1" x14ac:dyDescent="0.25">
      <c r="A24" s="86"/>
      <c r="B24" s="86"/>
    </row>
    <row r="25" spans="1:2" ht="13.5" customHeight="1" x14ac:dyDescent="0.25">
      <c r="A25" s="86"/>
      <c r="B25" s="86"/>
    </row>
    <row r="26" spans="1:2" ht="13.5" customHeight="1" x14ac:dyDescent="0.25">
      <c r="A26" s="86"/>
      <c r="B26" s="86"/>
    </row>
    <row r="27" spans="1:2" ht="13.5" customHeight="1" x14ac:dyDescent="0.25"/>
    <row r="28" spans="1:2" ht="13.5" customHeight="1" x14ac:dyDescent="0.25"/>
    <row r="29" spans="1:2" ht="13.5" customHeight="1" x14ac:dyDescent="0.25"/>
    <row r="30" spans="1:2" ht="13.5" customHeight="1" x14ac:dyDescent="0.25"/>
    <row r="31" spans="1:2" ht="13.5" customHeight="1" x14ac:dyDescent="0.25"/>
    <row r="32" spans="1:2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</sheetData>
  <mergeCells count="2">
    <mergeCell ref="A1:B1"/>
    <mergeCell ref="A2:B2"/>
  </mergeCells>
  <phoneticPr fontId="2" type="noConversion"/>
  <printOptions horizontalCentered="1"/>
  <pageMargins left="0.39370078740157483" right="0.39370078740157483" top="0.39370078740157483" bottom="0.39370078740157483" header="0.19685039370078741" footer="0.19685039370078741"/>
  <pageSetup paperSize="11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6BAB6-B239-481F-8F88-EF5FCE215496}">
  <sheetPr>
    <pageSetUpPr fitToPage="1"/>
  </sheetPr>
  <dimension ref="A1:J22"/>
  <sheetViews>
    <sheetView zoomScale="130" zoomScaleNormal="130" workbookViewId="0">
      <selection activeCell="F14" sqref="F14"/>
    </sheetView>
  </sheetViews>
  <sheetFormatPr defaultColWidth="9" defaultRowHeight="15.6" x14ac:dyDescent="0.25"/>
  <cols>
    <col min="1" max="6" width="13.8984375" style="13" customWidth="1"/>
    <col min="7" max="8" width="16.09765625" style="13" bestFit="1" customWidth="1"/>
    <col min="9" max="9" width="9" style="13"/>
    <col min="10" max="10" width="15" style="13" bestFit="1" customWidth="1"/>
    <col min="11" max="16384" width="9" style="13"/>
  </cols>
  <sheetData>
    <row r="1" spans="1:10" ht="28.2" x14ac:dyDescent="0.25">
      <c r="A1" s="253" t="s">
        <v>96</v>
      </c>
      <c r="B1" s="254"/>
      <c r="C1" s="254"/>
      <c r="D1" s="254"/>
      <c r="E1" s="254"/>
      <c r="F1" s="254"/>
    </row>
    <row r="2" spans="1:10" ht="26.25" customHeight="1" x14ac:dyDescent="0.25">
      <c r="A2" s="252" t="s">
        <v>295</v>
      </c>
      <c r="B2" s="252"/>
      <c r="C2" s="252"/>
      <c r="D2" s="252"/>
      <c r="E2" s="252"/>
      <c r="F2" s="252"/>
    </row>
    <row r="3" spans="1:10" ht="42" customHeight="1" x14ac:dyDescent="0.25">
      <c r="A3" s="140" t="s">
        <v>32</v>
      </c>
      <c r="B3" s="141" t="s">
        <v>33</v>
      </c>
      <c r="C3" s="141" t="s">
        <v>34</v>
      </c>
      <c r="D3" s="141" t="s">
        <v>35</v>
      </c>
      <c r="E3" s="141" t="s">
        <v>36</v>
      </c>
      <c r="F3" s="142" t="s">
        <v>37</v>
      </c>
    </row>
    <row r="4" spans="1:10" ht="42" customHeight="1" x14ac:dyDescent="0.25">
      <c r="A4" s="14" t="s">
        <v>38</v>
      </c>
      <c r="B4" s="15">
        <v>177431.24</v>
      </c>
      <c r="C4" s="16">
        <f>材料!K16-材料!S9</f>
        <v>767832.53725597297</v>
      </c>
      <c r="D4" s="17">
        <f>产品成本!B5+测算表!K7+材料!H14</f>
        <v>503928.24006859877</v>
      </c>
      <c r="E4" s="16">
        <f>B4+C4-D4</f>
        <v>441335.5371873742</v>
      </c>
      <c r="F4" s="218">
        <f>E4/E9</f>
        <v>0.91694920063420737</v>
      </c>
      <c r="G4" s="90">
        <f>产品成本!B25</f>
        <v>0.53853109304947544</v>
      </c>
      <c r="J4" s="123">
        <f>E6/(G6/G4)-E4</f>
        <v>-260261.58800083279</v>
      </c>
    </row>
    <row r="5" spans="1:10" ht="42" customHeight="1" x14ac:dyDescent="0.25">
      <c r="A5" s="14" t="s">
        <v>39</v>
      </c>
      <c r="B5" s="15">
        <v>26088.3</v>
      </c>
      <c r="C5" s="16">
        <f>测算表!B7</f>
        <v>75100</v>
      </c>
      <c r="D5" s="17">
        <f>产品成本!B7</f>
        <v>65052.967581126417</v>
      </c>
      <c r="E5" s="16">
        <f>B5+C5-D5</f>
        <v>36135.332418873586</v>
      </c>
      <c r="F5" s="218">
        <f>E5/E9</f>
        <v>7.5077262953492804E-2</v>
      </c>
      <c r="G5" s="90">
        <f>产品成本!B26</f>
        <v>0.10743</v>
      </c>
      <c r="J5" s="123">
        <f>E6/(G6/G5)-E5</f>
        <v>-13.417431649264472</v>
      </c>
    </row>
    <row r="6" spans="1:10" ht="42" customHeight="1" x14ac:dyDescent="0.25">
      <c r="A6" s="14" t="s">
        <v>40</v>
      </c>
      <c r="B6" s="15">
        <v>2376.3000000000002</v>
      </c>
      <c r="C6" s="16">
        <f>测算表!B10</f>
        <v>8372.91</v>
      </c>
      <c r="D6" s="17">
        <f>产品成本!B9</f>
        <v>6911.4783422685487</v>
      </c>
      <c r="E6" s="16">
        <f>B6+C6-D6</f>
        <v>3837.7316577314505</v>
      </c>
      <c r="F6" s="218">
        <f>E6/E9</f>
        <v>7.9735364122998555E-3</v>
      </c>
      <c r="G6" s="90">
        <f>产品成本!B27</f>
        <v>1.1413777817037344E-2</v>
      </c>
    </row>
    <row r="7" spans="1:10" ht="42" customHeight="1" x14ac:dyDescent="0.25">
      <c r="A7" s="14" t="s">
        <v>41</v>
      </c>
      <c r="B7" s="15"/>
      <c r="C7" s="16">
        <f>测算表!B9</f>
        <v>3567.6</v>
      </c>
      <c r="D7" s="17">
        <f>产品成本!B10</f>
        <v>3567.6</v>
      </c>
      <c r="E7" s="16"/>
      <c r="F7" s="18"/>
    </row>
    <row r="8" spans="1:10" ht="42" customHeight="1" x14ac:dyDescent="0.25">
      <c r="A8" s="14" t="s">
        <v>195</v>
      </c>
      <c r="B8" s="16"/>
      <c r="C8" s="16">
        <f>测算表!B11</f>
        <v>203905</v>
      </c>
      <c r="D8" s="17">
        <f>产品成本!B11</f>
        <v>203905</v>
      </c>
      <c r="E8" s="16"/>
      <c r="F8" s="18"/>
    </row>
    <row r="9" spans="1:10" ht="42" customHeight="1" x14ac:dyDescent="0.25">
      <c r="A9" s="14" t="s">
        <v>31</v>
      </c>
      <c r="B9" s="16">
        <f>SUM(B4:B8)</f>
        <v>205895.83999999997</v>
      </c>
      <c r="C9" s="16">
        <f>SUM(C4:C8)</f>
        <v>1058778.0472559729</v>
      </c>
      <c r="D9" s="17">
        <f>SUM(D4:D8)</f>
        <v>783365.28599199362</v>
      </c>
      <c r="E9" s="16">
        <f>SUM(E4:E8)</f>
        <v>481308.60126397922</v>
      </c>
      <c r="F9" s="19"/>
    </row>
    <row r="10" spans="1:10" x14ac:dyDescent="0.25">
      <c r="A10" s="20"/>
      <c r="B10" s="20"/>
      <c r="C10" s="20"/>
      <c r="D10" s="20"/>
      <c r="E10" s="20"/>
    </row>
    <row r="11" spans="1:10" x14ac:dyDescent="0.25">
      <c r="A11" s="21"/>
      <c r="B11" s="21"/>
      <c r="C11" s="21"/>
      <c r="D11" s="21"/>
      <c r="E11" s="21"/>
      <c r="H11" s="25">
        <f>G12-H12</f>
        <v>252345.32417324127</v>
      </c>
    </row>
    <row r="12" spans="1:10" x14ac:dyDescent="0.25">
      <c r="E12" s="22"/>
      <c r="G12" s="143">
        <f>E4+材料!N16</f>
        <v>937498.26751115965</v>
      </c>
      <c r="H12" s="143">
        <f>F14*产品成本!B24</f>
        <v>685152.94333791838</v>
      </c>
    </row>
    <row r="13" spans="1:10" x14ac:dyDescent="0.25">
      <c r="D13" s="24"/>
      <c r="E13" s="56">
        <f>E9+材料!N16+销售成本!L12*0</f>
        <v>977471.33158776467</v>
      </c>
    </row>
    <row r="14" spans="1:10" x14ac:dyDescent="0.25">
      <c r="A14" s="95" t="s">
        <v>109</v>
      </c>
      <c r="B14" s="24">
        <f>7527087+测算表!B2</f>
        <v>8369391.9800000004</v>
      </c>
      <c r="D14" s="124">
        <f>材料!O16</f>
        <v>0</v>
      </c>
      <c r="E14" s="56">
        <f>E13/0.71947*0.13</f>
        <v>176617.8897054907</v>
      </c>
      <c r="F14" s="24">
        <f>E14/0.13</f>
        <v>1358599.1515806976</v>
      </c>
      <c r="G14" s="24">
        <f>F14*C15</f>
        <v>30028.897750967451</v>
      </c>
    </row>
    <row r="15" spans="1:10" x14ac:dyDescent="0.25">
      <c r="A15" s="95" t="s">
        <v>103</v>
      </c>
      <c r="B15" s="24">
        <f>169486.28+测算表!D3</f>
        <v>184987.32</v>
      </c>
      <c r="C15" s="229">
        <f>B15/B14</f>
        <v>2.2102838586370046E-2</v>
      </c>
      <c r="D15" s="124">
        <f>D14*0.13</f>
        <v>0</v>
      </c>
      <c r="E15" s="56">
        <f>测算表!G13</f>
        <v>102570.57999999999</v>
      </c>
    </row>
    <row r="16" spans="1:10" x14ac:dyDescent="0.25">
      <c r="A16" s="95" t="s">
        <v>104</v>
      </c>
      <c r="B16" s="24">
        <f>B14*0.0221</f>
        <v>184963.56275800001</v>
      </c>
      <c r="E16" s="25">
        <f>E14-E15</f>
        <v>74047.309705490712</v>
      </c>
    </row>
    <row r="17" spans="1:8" x14ac:dyDescent="0.25">
      <c r="A17" s="95" t="s">
        <v>105</v>
      </c>
      <c r="B17" s="24">
        <f>B15-B16</f>
        <v>23.757241999992402</v>
      </c>
    </row>
    <row r="18" spans="1:8" x14ac:dyDescent="0.25">
      <c r="E18" s="25"/>
      <c r="H18" s="25">
        <f>H11-F20</f>
        <v>591131.24106957391</v>
      </c>
    </row>
    <row r="19" spans="1:8" x14ac:dyDescent="0.25">
      <c r="B19" s="24"/>
      <c r="D19" s="24">
        <f>E16-D15</f>
        <v>74047.309705490712</v>
      </c>
    </row>
    <row r="20" spans="1:8" x14ac:dyDescent="0.25">
      <c r="D20" s="24"/>
      <c r="E20" s="24">
        <f>G14-B17-D19</f>
        <v>-44042.169196523253</v>
      </c>
      <c r="F20" s="24">
        <f>E20/0.13</f>
        <v>-338785.9168963327</v>
      </c>
      <c r="G20" s="133" t="s">
        <v>149</v>
      </c>
      <c r="H20" s="133" t="s">
        <v>150</v>
      </c>
    </row>
    <row r="21" spans="1:8" x14ac:dyDescent="0.25">
      <c r="F21" s="146"/>
      <c r="G21" s="13" t="s">
        <v>151</v>
      </c>
    </row>
    <row r="22" spans="1:8" x14ac:dyDescent="0.25">
      <c r="D22" s="23"/>
    </row>
  </sheetData>
  <mergeCells count="2">
    <mergeCell ref="A2:F2"/>
    <mergeCell ref="A1:F1"/>
  </mergeCells>
  <phoneticPr fontId="2" type="noConversion"/>
  <printOptions horizontalCentered="1"/>
  <pageMargins left="0.39370078740157483" right="0.39370078740157483" top="0.39370078740157483" bottom="0.39370078740157483" header="0.19685039370078741" footer="0.19685039370078741"/>
  <pageSetup paperSize="11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9BD7-68DA-4D9F-9A5B-9DA762CB77B6}">
  <dimension ref="A1:R57"/>
  <sheetViews>
    <sheetView zoomScale="85" zoomScaleNormal="85" workbookViewId="0">
      <selection activeCell="N7" sqref="N7:N24"/>
    </sheetView>
  </sheetViews>
  <sheetFormatPr defaultRowHeight="15.6" x14ac:dyDescent="0.25"/>
  <cols>
    <col min="1" max="1" width="8.8984375" customWidth="1"/>
    <col min="2" max="2" width="13.8984375" customWidth="1"/>
    <col min="3" max="5" width="12.8984375" customWidth="1"/>
    <col min="6" max="6" width="16.59765625" customWidth="1"/>
    <col min="7" max="7" width="10" bestFit="1" customWidth="1"/>
    <col min="8" max="8" width="10.5" bestFit="1" customWidth="1"/>
    <col min="11" max="11" width="21.5" bestFit="1" customWidth="1"/>
    <col min="12" max="12" width="8.8984375" customWidth="1"/>
    <col min="13" max="13" width="13.8984375" customWidth="1"/>
    <col min="14" max="15" width="12.8984375" customWidth="1"/>
    <col min="16" max="16" width="16.59765625" customWidth="1"/>
    <col min="18" max="18" width="9.5" bestFit="1" customWidth="1"/>
  </cols>
  <sheetData>
    <row r="1" spans="1:18" s="129" customFormat="1" ht="25.8" x14ac:dyDescent="0.25">
      <c r="A1" s="257" t="s">
        <v>138</v>
      </c>
      <c r="B1" s="257"/>
      <c r="C1" s="257"/>
      <c r="D1" s="257"/>
      <c r="E1" s="257"/>
      <c r="F1" s="257"/>
      <c r="L1"/>
      <c r="M1"/>
      <c r="N1"/>
      <c r="O1"/>
      <c r="P1"/>
      <c r="Q1"/>
      <c r="R1"/>
    </row>
    <row r="2" spans="1:18" s="129" customFormat="1" ht="25.8" x14ac:dyDescent="0.25">
      <c r="A2" s="257" t="s">
        <v>130</v>
      </c>
      <c r="B2" s="257"/>
      <c r="C2" s="257"/>
      <c r="D2" s="257"/>
      <c r="E2" s="257"/>
      <c r="F2" s="257"/>
      <c r="L2"/>
      <c r="M2"/>
      <c r="N2"/>
      <c r="O2"/>
      <c r="P2"/>
      <c r="Q2"/>
      <c r="R2"/>
    </row>
    <row r="3" spans="1:18" ht="9" customHeight="1" x14ac:dyDescent="0.25"/>
    <row r="4" spans="1:18" x14ac:dyDescent="0.25">
      <c r="D4" s="130"/>
      <c r="E4" s="258" t="s">
        <v>294</v>
      </c>
      <c r="F4" s="258"/>
    </row>
    <row r="5" spans="1:18" ht="9" customHeight="1" x14ac:dyDescent="0.25"/>
    <row r="6" spans="1:18" ht="24.75" customHeight="1" x14ac:dyDescent="0.25">
      <c r="A6" s="131" t="s">
        <v>131</v>
      </c>
      <c r="B6" s="131" t="s">
        <v>132</v>
      </c>
      <c r="C6" s="131" t="s">
        <v>133</v>
      </c>
      <c r="D6" s="131" t="s">
        <v>134</v>
      </c>
      <c r="E6" s="131" t="s">
        <v>135</v>
      </c>
      <c r="F6" s="131" t="s">
        <v>136</v>
      </c>
      <c r="J6" t="s">
        <v>139</v>
      </c>
      <c r="M6" t="s">
        <v>132</v>
      </c>
      <c r="N6" t="s">
        <v>133</v>
      </c>
    </row>
    <row r="7" spans="1:18" ht="24.75" customHeight="1" x14ac:dyDescent="0.25">
      <c r="A7" s="126"/>
      <c r="B7" s="126" t="s">
        <v>147</v>
      </c>
      <c r="C7" s="127">
        <v>2800</v>
      </c>
      <c r="D7" s="127">
        <v>0</v>
      </c>
      <c r="E7" s="127">
        <f t="shared" ref="E7:E12" si="0">C7-D7</f>
        <v>2800</v>
      </c>
      <c r="F7" s="126"/>
      <c r="I7" s="132">
        <v>1</v>
      </c>
      <c r="J7" s="83" t="s">
        <v>147</v>
      </c>
      <c r="K7" s="128"/>
      <c r="M7" t="s">
        <v>243</v>
      </c>
      <c r="N7">
        <v>6550</v>
      </c>
    </row>
    <row r="8" spans="1:18" ht="24.75" customHeight="1" x14ac:dyDescent="0.25">
      <c r="A8" s="126"/>
      <c r="B8" s="126" t="s">
        <v>148</v>
      </c>
      <c r="C8" s="127">
        <v>2200</v>
      </c>
      <c r="D8" s="127">
        <v>0</v>
      </c>
      <c r="E8" s="127">
        <f t="shared" si="0"/>
        <v>2200</v>
      </c>
      <c r="F8" s="126"/>
      <c r="I8" s="132">
        <v>2</v>
      </c>
      <c r="J8" s="132" t="s">
        <v>148</v>
      </c>
      <c r="K8" s="128"/>
      <c r="M8" t="s">
        <v>142</v>
      </c>
      <c r="N8">
        <v>8840</v>
      </c>
    </row>
    <row r="9" spans="1:18" ht="24.75" customHeight="1" x14ac:dyDescent="0.25">
      <c r="A9" s="126"/>
      <c r="B9" s="126" t="s">
        <v>140</v>
      </c>
      <c r="C9" s="127">
        <v>8840</v>
      </c>
      <c r="D9" s="127">
        <v>0</v>
      </c>
      <c r="E9" s="127">
        <f t="shared" si="0"/>
        <v>8840</v>
      </c>
      <c r="F9" s="126"/>
      <c r="H9" s="2">
        <f>C9-1000</f>
        <v>7840</v>
      </c>
      <c r="I9" s="132">
        <v>3</v>
      </c>
      <c r="J9" s="83" t="s">
        <v>140</v>
      </c>
      <c r="K9" s="128"/>
      <c r="M9" t="s">
        <v>245</v>
      </c>
      <c r="N9">
        <v>6270</v>
      </c>
    </row>
    <row r="10" spans="1:18" ht="24.75" customHeight="1" x14ac:dyDescent="0.25">
      <c r="A10" s="126"/>
      <c r="B10" s="126" t="s">
        <v>141</v>
      </c>
      <c r="C10" s="127">
        <v>8080</v>
      </c>
      <c r="D10" s="127">
        <v>0</v>
      </c>
      <c r="E10" s="127">
        <f t="shared" si="0"/>
        <v>8080</v>
      </c>
      <c r="F10" s="126"/>
      <c r="H10" s="2">
        <f t="shared" ref="H10:H24" si="1">C10-1000</f>
        <v>7080</v>
      </c>
      <c r="I10" s="132">
        <v>4</v>
      </c>
      <c r="J10" s="83" t="s">
        <v>141</v>
      </c>
      <c r="K10" s="128"/>
      <c r="M10" t="s">
        <v>202</v>
      </c>
      <c r="N10">
        <v>7470</v>
      </c>
    </row>
    <row r="11" spans="1:18" ht="24.75" customHeight="1" x14ac:dyDescent="0.25">
      <c r="A11" s="126"/>
      <c r="B11" s="126" t="s">
        <v>142</v>
      </c>
      <c r="C11" s="127">
        <v>8840</v>
      </c>
      <c r="D11" s="127">
        <v>0</v>
      </c>
      <c r="E11" s="127">
        <f t="shared" si="0"/>
        <v>8840</v>
      </c>
      <c r="F11" s="126"/>
      <c r="H11" s="2">
        <f t="shared" si="1"/>
        <v>7840</v>
      </c>
      <c r="I11" s="132">
        <v>5</v>
      </c>
      <c r="J11" s="83" t="s">
        <v>142</v>
      </c>
      <c r="K11" s="128"/>
      <c r="M11" s="57" t="s">
        <v>143</v>
      </c>
      <c r="N11">
        <v>8970</v>
      </c>
    </row>
    <row r="12" spans="1:18" ht="24.75" customHeight="1" x14ac:dyDescent="0.25">
      <c r="A12" s="126"/>
      <c r="B12" s="126" t="s">
        <v>143</v>
      </c>
      <c r="C12" s="127">
        <v>8970</v>
      </c>
      <c r="D12" s="127">
        <v>0</v>
      </c>
      <c r="E12" s="127">
        <f t="shared" si="0"/>
        <v>8970</v>
      </c>
      <c r="F12" s="126"/>
      <c r="H12" s="2">
        <f t="shared" si="1"/>
        <v>7970</v>
      </c>
      <c r="I12" s="132">
        <v>6</v>
      </c>
      <c r="J12" s="83" t="s">
        <v>143</v>
      </c>
      <c r="K12" s="128"/>
      <c r="M12" t="s">
        <v>261</v>
      </c>
      <c r="N12">
        <v>7750</v>
      </c>
    </row>
    <row r="13" spans="1:18" ht="24.75" customHeight="1" x14ac:dyDescent="0.25">
      <c r="A13" s="126"/>
      <c r="B13" s="126" t="s">
        <v>144</v>
      </c>
      <c r="C13" s="127">
        <v>8860</v>
      </c>
      <c r="D13" s="127">
        <v>0</v>
      </c>
      <c r="E13" s="127">
        <f>C13-D13</f>
        <v>8860</v>
      </c>
      <c r="F13" s="126"/>
      <c r="H13" s="2">
        <f t="shared" si="1"/>
        <v>7860</v>
      </c>
      <c r="I13" s="132">
        <v>7</v>
      </c>
      <c r="J13" s="83" t="s">
        <v>144</v>
      </c>
      <c r="K13" s="128"/>
      <c r="M13" t="s">
        <v>147</v>
      </c>
      <c r="N13">
        <v>2800</v>
      </c>
    </row>
    <row r="14" spans="1:18" ht="24.75" customHeight="1" x14ac:dyDescent="0.25">
      <c r="A14" s="126"/>
      <c r="B14" s="126" t="s">
        <v>145</v>
      </c>
      <c r="C14" s="127">
        <v>7940</v>
      </c>
      <c r="D14" s="127">
        <v>0</v>
      </c>
      <c r="E14" s="127">
        <f>C14-D14</f>
        <v>7940</v>
      </c>
      <c r="F14" s="126"/>
      <c r="H14" s="2">
        <f t="shared" si="1"/>
        <v>6940</v>
      </c>
      <c r="I14" s="132">
        <v>8</v>
      </c>
      <c r="J14" s="83" t="s">
        <v>145</v>
      </c>
      <c r="K14" s="128"/>
      <c r="M14" t="s">
        <v>145</v>
      </c>
      <c r="N14">
        <v>7940</v>
      </c>
    </row>
    <row r="15" spans="1:18" ht="24.75" customHeight="1" x14ac:dyDescent="0.25">
      <c r="A15" s="126"/>
      <c r="B15" s="126" t="s">
        <v>146</v>
      </c>
      <c r="C15" s="127">
        <v>7680</v>
      </c>
      <c r="D15" s="127">
        <v>0</v>
      </c>
      <c r="E15" s="127">
        <f>C15-D15</f>
        <v>7680</v>
      </c>
      <c r="F15" s="126"/>
      <c r="H15" s="2">
        <f t="shared" si="1"/>
        <v>6680</v>
      </c>
      <c r="I15" s="132">
        <v>9</v>
      </c>
      <c r="J15" s="83" t="s">
        <v>146</v>
      </c>
      <c r="K15" s="128"/>
      <c r="M15" t="s">
        <v>148</v>
      </c>
      <c r="N15">
        <v>2200</v>
      </c>
    </row>
    <row r="16" spans="1:18" ht="24.75" customHeight="1" x14ac:dyDescent="0.25">
      <c r="A16" s="126"/>
      <c r="B16" s="126" t="s">
        <v>201</v>
      </c>
      <c r="C16" s="127">
        <v>7320</v>
      </c>
      <c r="D16" s="127">
        <v>0</v>
      </c>
      <c r="E16" s="127">
        <f>C16-D16</f>
        <v>7320</v>
      </c>
      <c r="F16" s="126"/>
      <c r="H16" s="2">
        <f t="shared" si="1"/>
        <v>6320</v>
      </c>
      <c r="I16" s="132">
        <v>10</v>
      </c>
      <c r="J16" s="83" t="s">
        <v>201</v>
      </c>
      <c r="K16" s="128"/>
      <c r="M16" t="s">
        <v>246</v>
      </c>
      <c r="N16">
        <v>6310</v>
      </c>
    </row>
    <row r="17" spans="1:14" ht="24.75" customHeight="1" x14ac:dyDescent="0.25">
      <c r="A17" s="126"/>
      <c r="B17" s="126" t="s">
        <v>202</v>
      </c>
      <c r="C17" s="127">
        <v>7470</v>
      </c>
      <c r="D17" s="127">
        <v>0</v>
      </c>
      <c r="E17" s="127">
        <f t="shared" ref="E17:E24" si="2">C17-D17</f>
        <v>7470</v>
      </c>
      <c r="F17" s="126"/>
      <c r="H17" s="2">
        <f t="shared" si="1"/>
        <v>6470</v>
      </c>
      <c r="I17" s="132">
        <v>11</v>
      </c>
      <c r="J17" s="83" t="s">
        <v>202</v>
      </c>
      <c r="M17" t="s">
        <v>242</v>
      </c>
      <c r="N17">
        <v>6920</v>
      </c>
    </row>
    <row r="18" spans="1:14" ht="24.75" customHeight="1" x14ac:dyDescent="0.25">
      <c r="A18" s="126"/>
      <c r="B18" s="126" t="s">
        <v>261</v>
      </c>
      <c r="C18" s="127">
        <v>7750</v>
      </c>
      <c r="D18" s="127">
        <v>0</v>
      </c>
      <c r="E18" s="127">
        <f t="shared" si="2"/>
        <v>7750</v>
      </c>
      <c r="F18" s="126"/>
      <c r="H18" s="2">
        <f t="shared" si="1"/>
        <v>6750</v>
      </c>
      <c r="I18" s="132">
        <v>12</v>
      </c>
      <c r="J18" s="83" t="s">
        <v>261</v>
      </c>
      <c r="M18" t="s">
        <v>201</v>
      </c>
      <c r="N18">
        <v>7320</v>
      </c>
    </row>
    <row r="19" spans="1:14" ht="24.75" customHeight="1" x14ac:dyDescent="0.25">
      <c r="A19" s="126"/>
      <c r="B19" s="152" t="s">
        <v>241</v>
      </c>
      <c r="C19" s="127">
        <v>7380</v>
      </c>
      <c r="D19" s="127">
        <v>0</v>
      </c>
      <c r="E19" s="127">
        <f t="shared" si="2"/>
        <v>7380</v>
      </c>
      <c r="F19" s="126"/>
      <c r="H19" s="2">
        <f t="shared" si="1"/>
        <v>6380</v>
      </c>
      <c r="I19" s="132">
        <v>13</v>
      </c>
      <c r="J19" s="222" t="s">
        <v>241</v>
      </c>
      <c r="M19" t="s">
        <v>241</v>
      </c>
      <c r="N19">
        <v>7380</v>
      </c>
    </row>
    <row r="20" spans="1:14" ht="24.75" customHeight="1" x14ac:dyDescent="0.25">
      <c r="A20" s="126"/>
      <c r="B20" s="126" t="s">
        <v>242</v>
      </c>
      <c r="C20" s="127">
        <f>7820-900</f>
        <v>6920</v>
      </c>
      <c r="D20" s="127">
        <v>0</v>
      </c>
      <c r="E20" s="127">
        <f t="shared" si="2"/>
        <v>6920</v>
      </c>
      <c r="F20" s="126"/>
      <c r="H20" s="2">
        <f t="shared" si="1"/>
        <v>5920</v>
      </c>
      <c r="I20" s="132">
        <v>14</v>
      </c>
      <c r="J20" s="83" t="s">
        <v>242</v>
      </c>
      <c r="M20" t="s">
        <v>144</v>
      </c>
      <c r="N20">
        <v>8860</v>
      </c>
    </row>
    <row r="21" spans="1:14" ht="24.75" customHeight="1" x14ac:dyDescent="0.25">
      <c r="A21" s="126"/>
      <c r="B21" s="126" t="s">
        <v>243</v>
      </c>
      <c r="C21" s="127">
        <v>6550</v>
      </c>
      <c r="D21" s="127">
        <v>0</v>
      </c>
      <c r="E21" s="127">
        <f t="shared" si="2"/>
        <v>6550</v>
      </c>
      <c r="F21" s="126"/>
      <c r="H21" s="2">
        <f t="shared" si="1"/>
        <v>5550</v>
      </c>
      <c r="I21" s="132">
        <v>15</v>
      </c>
      <c r="J21" s="83" t="s">
        <v>243</v>
      </c>
      <c r="M21" t="s">
        <v>140</v>
      </c>
      <c r="N21">
        <v>8840</v>
      </c>
    </row>
    <row r="22" spans="1:14" ht="24.75" customHeight="1" x14ac:dyDescent="0.25">
      <c r="A22" s="126"/>
      <c r="B22" s="126" t="s">
        <v>244</v>
      </c>
      <c r="C22" s="127">
        <v>6560</v>
      </c>
      <c r="D22" s="127">
        <v>0</v>
      </c>
      <c r="E22" s="127">
        <f t="shared" si="2"/>
        <v>6560</v>
      </c>
      <c r="F22" s="126"/>
      <c r="H22" s="2">
        <f t="shared" si="1"/>
        <v>5560</v>
      </c>
      <c r="I22" s="83">
        <v>16</v>
      </c>
      <c r="J22" s="83" t="s">
        <v>244</v>
      </c>
      <c r="M22" t="s">
        <v>244</v>
      </c>
      <c r="N22">
        <v>6560</v>
      </c>
    </row>
    <row r="23" spans="1:14" ht="24.75" customHeight="1" x14ac:dyDescent="0.25">
      <c r="A23" s="126"/>
      <c r="B23" s="126" t="s">
        <v>245</v>
      </c>
      <c r="C23" s="127">
        <v>6270</v>
      </c>
      <c r="D23" s="127">
        <v>0</v>
      </c>
      <c r="E23" s="127">
        <f t="shared" si="2"/>
        <v>6270</v>
      </c>
      <c r="F23" s="126"/>
      <c r="H23" s="2">
        <f t="shared" si="1"/>
        <v>5270</v>
      </c>
      <c r="I23" s="83">
        <v>17</v>
      </c>
      <c r="J23" s="83" t="s">
        <v>245</v>
      </c>
      <c r="M23" t="s">
        <v>141</v>
      </c>
      <c r="N23">
        <v>8080</v>
      </c>
    </row>
    <row r="24" spans="1:14" ht="24.75" customHeight="1" x14ac:dyDescent="0.25">
      <c r="A24" s="126"/>
      <c r="B24" s="126" t="s">
        <v>246</v>
      </c>
      <c r="C24" s="127">
        <v>6310</v>
      </c>
      <c r="D24" s="127">
        <v>0</v>
      </c>
      <c r="E24" s="127">
        <f t="shared" si="2"/>
        <v>6310</v>
      </c>
      <c r="F24" s="126"/>
      <c r="H24" s="2">
        <f t="shared" si="1"/>
        <v>5310</v>
      </c>
      <c r="I24" s="83">
        <v>18</v>
      </c>
      <c r="J24" s="83" t="s">
        <v>246</v>
      </c>
      <c r="M24" t="s">
        <v>146</v>
      </c>
      <c r="N24">
        <v>7680</v>
      </c>
    </row>
    <row r="25" spans="1:14" ht="24.75" customHeight="1" x14ac:dyDescent="0.25">
      <c r="A25" s="126"/>
      <c r="B25" s="126"/>
      <c r="C25" s="127"/>
      <c r="D25" s="127"/>
      <c r="E25" s="127"/>
      <c r="F25" s="126"/>
      <c r="H25" s="2"/>
      <c r="I25" s="83">
        <v>19</v>
      </c>
      <c r="J25" s="83" t="s">
        <v>274</v>
      </c>
    </row>
    <row r="26" spans="1:14" ht="24.75" customHeight="1" x14ac:dyDescent="0.25">
      <c r="A26" s="126"/>
      <c r="B26" s="126"/>
      <c r="C26" s="127"/>
      <c r="D26" s="127"/>
      <c r="E26" s="127"/>
      <c r="F26" s="126"/>
      <c r="H26" s="2"/>
      <c r="I26" s="83">
        <v>20</v>
      </c>
      <c r="J26" s="186" t="s">
        <v>275</v>
      </c>
    </row>
    <row r="27" spans="1:14" ht="24.75" customHeight="1" x14ac:dyDescent="0.25">
      <c r="A27" s="126"/>
      <c r="B27" s="126"/>
      <c r="C27" s="127"/>
      <c r="D27" s="127"/>
      <c r="E27" s="127"/>
      <c r="F27" s="126"/>
      <c r="H27" s="2"/>
      <c r="J27" s="83" t="s">
        <v>247</v>
      </c>
    </row>
    <row r="28" spans="1:14" ht="24.75" customHeight="1" x14ac:dyDescent="0.25">
      <c r="A28" s="126"/>
      <c r="B28" s="126"/>
      <c r="C28" s="127"/>
      <c r="D28" s="127"/>
      <c r="E28" s="127"/>
      <c r="F28" s="126"/>
      <c r="H28" s="2"/>
      <c r="J28" s="83" t="s">
        <v>248</v>
      </c>
    </row>
    <row r="29" spans="1:14" ht="24.75" customHeight="1" x14ac:dyDescent="0.25">
      <c r="A29" s="255" t="s">
        <v>137</v>
      </c>
      <c r="B29" s="256"/>
      <c r="C29" s="127">
        <f>SUM(C7:C28)</f>
        <v>126740</v>
      </c>
      <c r="D29" s="127">
        <f>SUM(D7:D28)</f>
        <v>0</v>
      </c>
      <c r="E29" s="127">
        <f>SUM(E7:E28)</f>
        <v>126740</v>
      </c>
      <c r="F29" s="126"/>
      <c r="J29" t="s">
        <v>276</v>
      </c>
    </row>
    <row r="30" spans="1:14" x14ac:dyDescent="0.25">
      <c r="J30" t="s">
        <v>277</v>
      </c>
    </row>
    <row r="31" spans="1:14" x14ac:dyDescent="0.25">
      <c r="C31" s="2">
        <f>126740-C29</f>
        <v>0</v>
      </c>
      <c r="J31" t="s">
        <v>278</v>
      </c>
    </row>
    <row r="33" spans="2:4" x14ac:dyDescent="0.25">
      <c r="B33" s="57"/>
      <c r="C33" s="3"/>
      <c r="D33" s="57"/>
    </row>
    <row r="34" spans="2:4" x14ac:dyDescent="0.25">
      <c r="C34" s="3"/>
    </row>
    <row r="35" spans="2:4" x14ac:dyDescent="0.25">
      <c r="C35" s="3"/>
    </row>
    <row r="36" spans="2:4" x14ac:dyDescent="0.25">
      <c r="B36" s="209"/>
      <c r="C36" s="3"/>
    </row>
    <row r="37" spans="2:4" x14ac:dyDescent="0.25">
      <c r="B37" s="209"/>
      <c r="C37" s="3"/>
    </row>
    <row r="38" spans="2:4" x14ac:dyDescent="0.25">
      <c r="C38" s="3"/>
    </row>
    <row r="39" spans="2:4" x14ac:dyDescent="0.25">
      <c r="B39" s="209"/>
      <c r="C39" s="3"/>
    </row>
    <row r="40" spans="2:4" x14ac:dyDescent="0.25">
      <c r="B40" s="209"/>
      <c r="C40" s="3"/>
    </row>
    <row r="41" spans="2:4" x14ac:dyDescent="0.25">
      <c r="C41" s="3"/>
    </row>
    <row r="42" spans="2:4" x14ac:dyDescent="0.25">
      <c r="B42" s="57"/>
      <c r="C42" s="3"/>
    </row>
    <row r="43" spans="2:4" x14ac:dyDescent="0.25">
      <c r="B43" s="57"/>
      <c r="C43" s="3"/>
    </row>
    <row r="44" spans="2:4" x14ac:dyDescent="0.25">
      <c r="C44" s="3"/>
    </row>
    <row r="45" spans="2:4" x14ac:dyDescent="0.25">
      <c r="B45" s="57"/>
      <c r="C45" s="3"/>
    </row>
    <row r="46" spans="2:4" x14ac:dyDescent="0.25">
      <c r="B46" s="57"/>
      <c r="C46" s="3"/>
    </row>
    <row r="47" spans="2:4" x14ac:dyDescent="0.25">
      <c r="C47" s="3"/>
    </row>
    <row r="48" spans="2:4" x14ac:dyDescent="0.25">
      <c r="B48" s="57"/>
      <c r="C48" s="3"/>
    </row>
    <row r="49" spans="2:3" x14ac:dyDescent="0.25">
      <c r="C49" s="3"/>
    </row>
    <row r="50" spans="2:3" x14ac:dyDescent="0.25">
      <c r="C50" s="3"/>
    </row>
    <row r="51" spans="2:3" x14ac:dyDescent="0.25">
      <c r="B51" s="216"/>
      <c r="C51" s="3"/>
    </row>
    <row r="52" spans="2:3" x14ac:dyDescent="0.25">
      <c r="C52" s="3"/>
    </row>
    <row r="53" spans="2:3" x14ac:dyDescent="0.25">
      <c r="C53" s="3"/>
    </row>
    <row r="54" spans="2:3" x14ac:dyDescent="0.25">
      <c r="B54" s="57"/>
      <c r="C54" s="3"/>
    </row>
    <row r="55" spans="2:3" x14ac:dyDescent="0.25">
      <c r="C55" s="3"/>
    </row>
    <row r="56" spans="2:3" x14ac:dyDescent="0.25">
      <c r="C56" s="3"/>
    </row>
    <row r="57" spans="2:3" x14ac:dyDescent="0.25">
      <c r="B57" s="57"/>
      <c r="C57" s="3"/>
    </row>
  </sheetData>
  <autoFilter ref="M6:N6" xr:uid="{1A1D184E-4C62-474A-BB21-A24316B0317D}">
    <sortState xmlns:xlrd2="http://schemas.microsoft.com/office/spreadsheetml/2017/richdata2" ref="M7:N24">
      <sortCondition ref="M6"/>
    </sortState>
  </autoFilter>
  <mergeCells count="4">
    <mergeCell ref="A29:B29"/>
    <mergeCell ref="A1:F1"/>
    <mergeCell ref="A2:F2"/>
    <mergeCell ref="E4:F4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8C77-089A-418C-AF38-89A9558460A2}">
  <dimension ref="A3:M65"/>
  <sheetViews>
    <sheetView topLeftCell="A44" zoomScale="145" zoomScaleNormal="145" workbookViewId="0">
      <selection activeCell="D64" sqref="D64"/>
    </sheetView>
  </sheetViews>
  <sheetFormatPr defaultRowHeight="15.6" x14ac:dyDescent="0.25"/>
  <cols>
    <col min="1" max="1" width="11.59765625" bestFit="1" customWidth="1"/>
    <col min="2" max="2" width="6" bestFit="1" customWidth="1"/>
    <col min="3" max="3" width="14" bestFit="1" customWidth="1"/>
    <col min="4" max="4" width="8.5" bestFit="1" customWidth="1"/>
    <col min="5" max="5" width="15" bestFit="1" customWidth="1"/>
    <col min="6" max="6" width="10.5" bestFit="1" customWidth="1"/>
    <col min="7" max="7" width="12.59765625" bestFit="1" customWidth="1"/>
    <col min="10" max="10" width="11.59765625" bestFit="1" customWidth="1"/>
  </cols>
  <sheetData>
    <row r="3" spans="1:7" x14ac:dyDescent="0.25">
      <c r="B3" s="259" t="s">
        <v>165</v>
      </c>
      <c r="C3" s="259"/>
      <c r="D3" s="259"/>
      <c r="E3" s="259"/>
      <c r="F3" s="259"/>
      <c r="G3" s="259"/>
    </row>
    <row r="4" spans="1:7" x14ac:dyDescent="0.25">
      <c r="B4" s="157" t="s">
        <v>166</v>
      </c>
      <c r="C4" s="157" t="s">
        <v>167</v>
      </c>
      <c r="D4" s="157" t="s">
        <v>168</v>
      </c>
      <c r="E4" s="157" t="s">
        <v>169</v>
      </c>
      <c r="F4" s="157" t="s">
        <v>170</v>
      </c>
      <c r="G4" s="157" t="s">
        <v>171</v>
      </c>
    </row>
    <row r="5" spans="1:7" x14ac:dyDescent="0.25">
      <c r="B5" s="158">
        <v>1</v>
      </c>
      <c r="C5" s="159">
        <v>5962</v>
      </c>
      <c r="D5" s="160">
        <f>E5/C5</f>
        <v>0.78497148607849709</v>
      </c>
      <c r="E5" s="161">
        <v>4680</v>
      </c>
      <c r="F5" s="161"/>
      <c r="G5" s="161">
        <f>E5+F5</f>
        <v>4680</v>
      </c>
    </row>
    <row r="6" spans="1:7" x14ac:dyDescent="0.25">
      <c r="B6" s="158">
        <v>2</v>
      </c>
      <c r="C6" s="159">
        <v>8344</v>
      </c>
      <c r="D6" s="160">
        <f t="shared" ref="D6:D16" si="0">E6/C6</f>
        <v>0.78499520613614571</v>
      </c>
      <c r="E6" s="161">
        <v>6550</v>
      </c>
      <c r="F6" s="161"/>
      <c r="G6" s="161">
        <f t="shared" ref="G6:G16" si="1">E6+F6</f>
        <v>6550</v>
      </c>
    </row>
    <row r="7" spans="1:7" x14ac:dyDescent="0.25">
      <c r="B7" s="158">
        <v>3</v>
      </c>
      <c r="C7" s="159">
        <v>17771</v>
      </c>
      <c r="D7" s="160">
        <f t="shared" si="0"/>
        <v>0.78498677620842949</v>
      </c>
      <c r="E7" s="161">
        <v>13950</v>
      </c>
      <c r="F7" s="161"/>
      <c r="G7" s="161">
        <f t="shared" si="1"/>
        <v>13950</v>
      </c>
    </row>
    <row r="8" spans="1:7" x14ac:dyDescent="0.25">
      <c r="B8" s="158">
        <v>4</v>
      </c>
      <c r="C8" s="159">
        <v>6408</v>
      </c>
      <c r="D8" s="160">
        <f>E8/C8</f>
        <v>0.78495630461922594</v>
      </c>
      <c r="E8" s="161">
        <v>5030</v>
      </c>
      <c r="F8" s="161"/>
      <c r="G8" s="161">
        <f t="shared" si="1"/>
        <v>5030</v>
      </c>
    </row>
    <row r="9" spans="1:7" x14ac:dyDescent="0.25">
      <c r="B9" s="158">
        <v>5</v>
      </c>
      <c r="C9" s="159">
        <v>6268</v>
      </c>
      <c r="D9" s="160">
        <f t="shared" si="0"/>
        <v>0.78493937460114871</v>
      </c>
      <c r="E9" s="161">
        <v>4920</v>
      </c>
      <c r="F9" s="161"/>
      <c r="G9" s="161">
        <f t="shared" si="1"/>
        <v>4920</v>
      </c>
    </row>
    <row r="10" spans="1:7" x14ac:dyDescent="0.25">
      <c r="B10" s="158">
        <v>6</v>
      </c>
      <c r="C10" s="159">
        <v>19465</v>
      </c>
      <c r="D10" s="160">
        <f t="shared" si="0"/>
        <v>0.78499871564346257</v>
      </c>
      <c r="E10" s="161">
        <v>15280</v>
      </c>
      <c r="F10" s="161"/>
      <c r="G10" s="161">
        <f t="shared" si="1"/>
        <v>15280</v>
      </c>
    </row>
    <row r="11" spans="1:7" x14ac:dyDescent="0.25">
      <c r="B11" s="158">
        <v>7</v>
      </c>
      <c r="C11" s="159">
        <v>16917</v>
      </c>
      <c r="D11" s="160">
        <f t="shared" si="0"/>
        <v>0.7850091623810368</v>
      </c>
      <c r="E11" s="161">
        <v>13280</v>
      </c>
      <c r="F11" s="161"/>
      <c r="G11" s="161">
        <f t="shared" si="1"/>
        <v>13280</v>
      </c>
    </row>
    <row r="12" spans="1:7" x14ac:dyDescent="0.25">
      <c r="B12" s="158">
        <v>8</v>
      </c>
      <c r="C12" s="159">
        <v>22739</v>
      </c>
      <c r="D12" s="160">
        <f t="shared" si="0"/>
        <v>0.78499494260961344</v>
      </c>
      <c r="E12" s="161">
        <v>17850</v>
      </c>
      <c r="F12" s="161"/>
      <c r="G12" s="161">
        <f t="shared" si="1"/>
        <v>17850</v>
      </c>
    </row>
    <row r="13" spans="1:7" x14ac:dyDescent="0.25">
      <c r="B13" s="158">
        <v>9</v>
      </c>
      <c r="C13" s="159">
        <v>20280</v>
      </c>
      <c r="D13" s="160">
        <f t="shared" si="0"/>
        <v>0.78500986193293887</v>
      </c>
      <c r="E13" s="161">
        <v>15920</v>
      </c>
      <c r="F13" s="161"/>
      <c r="G13" s="161">
        <f t="shared" si="1"/>
        <v>15920</v>
      </c>
    </row>
    <row r="14" spans="1:7" x14ac:dyDescent="0.25">
      <c r="B14" s="158">
        <v>10</v>
      </c>
      <c r="C14" s="159">
        <v>12637</v>
      </c>
      <c r="D14" s="160">
        <f t="shared" si="0"/>
        <v>0.78499643902825034</v>
      </c>
      <c r="E14" s="161">
        <v>9920</v>
      </c>
      <c r="F14" s="161"/>
      <c r="G14" s="161">
        <f t="shared" si="1"/>
        <v>9920</v>
      </c>
    </row>
    <row r="15" spans="1:7" x14ac:dyDescent="0.25">
      <c r="A15" s="165" t="s">
        <v>175</v>
      </c>
      <c r="B15" s="158">
        <v>11</v>
      </c>
      <c r="C15" s="159">
        <v>22395</v>
      </c>
      <c r="D15" s="160">
        <f t="shared" si="0"/>
        <v>0.78499665103817817</v>
      </c>
      <c r="E15" s="161">
        <v>17580</v>
      </c>
      <c r="F15" s="161"/>
      <c r="G15" s="161">
        <f t="shared" si="1"/>
        <v>17580</v>
      </c>
    </row>
    <row r="16" spans="1:7" x14ac:dyDescent="0.25">
      <c r="A16" s="165" t="s">
        <v>174</v>
      </c>
      <c r="B16" s="158">
        <v>12</v>
      </c>
      <c r="C16" s="159">
        <v>22624</v>
      </c>
      <c r="D16" s="160">
        <f t="shared" si="0"/>
        <v>0.78500707213578502</v>
      </c>
      <c r="E16" s="161">
        <v>17760</v>
      </c>
      <c r="F16" s="161"/>
      <c r="G16" s="161">
        <f t="shared" si="1"/>
        <v>17760</v>
      </c>
    </row>
    <row r="17" spans="1:11" x14ac:dyDescent="0.25">
      <c r="B17" s="162"/>
      <c r="C17" s="163">
        <f>SUM(C5:C16)</f>
        <v>181810</v>
      </c>
      <c r="D17" s="164">
        <f>E17/C17</f>
        <v>0.78499532478961553</v>
      </c>
      <c r="E17" s="163">
        <f>SUM(E5:E16)</f>
        <v>142720</v>
      </c>
      <c r="F17" s="163">
        <f>SUM(F5:F16)</f>
        <v>0</v>
      </c>
      <c r="G17" s="163">
        <f>SUM(G5:G16)</f>
        <v>142720</v>
      </c>
    </row>
    <row r="19" spans="1:11" x14ac:dyDescent="0.25">
      <c r="B19" s="259" t="s">
        <v>172</v>
      </c>
      <c r="C19" s="259"/>
      <c r="D19" s="259"/>
      <c r="E19" s="259"/>
      <c r="F19" s="259"/>
      <c r="G19" s="259"/>
    </row>
    <row r="20" spans="1:11" x14ac:dyDescent="0.25">
      <c r="B20" s="157" t="s">
        <v>166</v>
      </c>
      <c r="C20" s="157" t="s">
        <v>167</v>
      </c>
      <c r="D20" s="157" t="s">
        <v>168</v>
      </c>
      <c r="E20" s="157" t="s">
        <v>169</v>
      </c>
      <c r="F20" s="157" t="s">
        <v>170</v>
      </c>
      <c r="G20" s="157" t="s">
        <v>171</v>
      </c>
    </row>
    <row r="21" spans="1:11" x14ac:dyDescent="0.25">
      <c r="A21" s="165" t="s">
        <v>173</v>
      </c>
      <c r="B21" s="158">
        <v>1</v>
      </c>
      <c r="C21" s="159">
        <v>13452</v>
      </c>
      <c r="D21" s="160">
        <f>E21/C21</f>
        <v>0.78501338090990191</v>
      </c>
      <c r="E21" s="161">
        <v>10560</v>
      </c>
      <c r="F21" s="161"/>
      <c r="G21" s="161">
        <f>E21+F21</f>
        <v>10560</v>
      </c>
    </row>
    <row r="22" spans="1:11" x14ac:dyDescent="0.25">
      <c r="A22" s="57" t="s">
        <v>176</v>
      </c>
      <c r="B22" s="158">
        <v>2</v>
      </c>
      <c r="C22" s="159">
        <v>12076</v>
      </c>
      <c r="D22" s="160">
        <f>E22/C22</f>
        <v>0.78502815501821799</v>
      </c>
      <c r="E22" s="161">
        <v>9480</v>
      </c>
      <c r="F22" s="161"/>
      <c r="G22" s="161">
        <f t="shared" ref="G22:G32" si="2">E22+F22</f>
        <v>9480</v>
      </c>
    </row>
    <row r="23" spans="1:11" x14ac:dyDescent="0.25">
      <c r="A23" s="57" t="s">
        <v>179</v>
      </c>
      <c r="B23" s="158">
        <v>3</v>
      </c>
      <c r="C23" s="159">
        <v>7465</v>
      </c>
      <c r="D23" s="160">
        <f>E23/C23</f>
        <v>0.78499665103817817</v>
      </c>
      <c r="E23" s="161">
        <v>5860</v>
      </c>
      <c r="F23" s="161"/>
      <c r="G23" s="161">
        <f t="shared" si="2"/>
        <v>5860</v>
      </c>
    </row>
    <row r="24" spans="1:11" x14ac:dyDescent="0.25">
      <c r="A24" s="173" t="s">
        <v>183</v>
      </c>
      <c r="B24" s="158">
        <v>4</v>
      </c>
      <c r="C24" s="159">
        <v>27322</v>
      </c>
      <c r="D24" s="160">
        <f>E24/C24</f>
        <v>0.87548495717736619</v>
      </c>
      <c r="E24" s="161">
        <v>23920</v>
      </c>
      <c r="F24" s="161"/>
      <c r="G24" s="161">
        <f t="shared" si="2"/>
        <v>23920</v>
      </c>
    </row>
    <row r="25" spans="1:11" x14ac:dyDescent="0.25">
      <c r="A25" s="57" t="s">
        <v>190</v>
      </c>
      <c r="B25" s="158">
        <v>5</v>
      </c>
      <c r="C25" s="159">
        <v>9580</v>
      </c>
      <c r="D25" s="160">
        <f t="shared" ref="D25:D32" si="3">E25/C25</f>
        <v>1.0200417536534447</v>
      </c>
      <c r="E25" s="161">
        <v>9772</v>
      </c>
      <c r="F25" s="161"/>
      <c r="G25" s="161">
        <f t="shared" si="2"/>
        <v>9772</v>
      </c>
    </row>
    <row r="26" spans="1:11" x14ac:dyDescent="0.25">
      <c r="A26" s="57" t="s">
        <v>196</v>
      </c>
      <c r="B26" s="158">
        <v>6</v>
      </c>
      <c r="C26" s="159">
        <v>17245</v>
      </c>
      <c r="D26" s="160">
        <f t="shared" si="3"/>
        <v>1.0200057987822557</v>
      </c>
      <c r="E26" s="161">
        <v>17590</v>
      </c>
      <c r="F26" s="161"/>
      <c r="G26" s="161">
        <f t="shared" si="2"/>
        <v>17590</v>
      </c>
    </row>
    <row r="27" spans="1:11" x14ac:dyDescent="0.25">
      <c r="A27" s="57" t="s">
        <v>198</v>
      </c>
      <c r="B27" s="158">
        <v>7</v>
      </c>
      <c r="C27" s="159">
        <v>8108</v>
      </c>
      <c r="D27" s="160">
        <f t="shared" si="3"/>
        <v>1.019980266403552</v>
      </c>
      <c r="E27" s="161">
        <v>8270</v>
      </c>
      <c r="F27" s="161"/>
      <c r="G27" s="161">
        <f t="shared" si="2"/>
        <v>8270</v>
      </c>
    </row>
    <row r="28" spans="1:11" x14ac:dyDescent="0.25">
      <c r="A28" s="187" t="s">
        <v>203</v>
      </c>
      <c r="B28" s="158">
        <v>8</v>
      </c>
      <c r="C28" s="159">
        <v>5716</v>
      </c>
      <c r="D28" s="160">
        <f t="shared" si="3"/>
        <v>1.0199440167949616</v>
      </c>
      <c r="E28" s="161">
        <v>5830</v>
      </c>
      <c r="F28" s="161"/>
      <c r="G28" s="161">
        <f t="shared" si="2"/>
        <v>5830</v>
      </c>
    </row>
    <row r="29" spans="1:11" x14ac:dyDescent="0.25">
      <c r="A29" s="188" t="s">
        <v>205</v>
      </c>
      <c r="B29" s="158">
        <v>9</v>
      </c>
      <c r="C29" s="159">
        <v>8657</v>
      </c>
      <c r="D29" s="160">
        <f t="shared" si="3"/>
        <v>1.0199838281159754</v>
      </c>
      <c r="E29" s="161">
        <v>8830</v>
      </c>
      <c r="F29" s="161"/>
      <c r="G29" s="161">
        <f t="shared" si="2"/>
        <v>8830</v>
      </c>
    </row>
    <row r="30" spans="1:11" x14ac:dyDescent="0.25">
      <c r="A30" s="57" t="s">
        <v>210</v>
      </c>
      <c r="B30" s="158">
        <v>10</v>
      </c>
      <c r="C30" s="159">
        <v>6152</v>
      </c>
      <c r="D30" s="160">
        <f t="shared" si="3"/>
        <v>1.0199934980494147</v>
      </c>
      <c r="E30" s="161">
        <v>6275</v>
      </c>
      <c r="F30" s="161"/>
      <c r="G30" s="161">
        <f t="shared" si="2"/>
        <v>6275</v>
      </c>
    </row>
    <row r="31" spans="1:11" x14ac:dyDescent="0.25">
      <c r="A31" s="57" t="s">
        <v>214</v>
      </c>
      <c r="B31" s="158">
        <v>11</v>
      </c>
      <c r="C31" s="159">
        <v>6647</v>
      </c>
      <c r="D31" s="160">
        <f t="shared" si="3"/>
        <v>1.0200090266285542</v>
      </c>
      <c r="E31" s="161">
        <v>6780</v>
      </c>
      <c r="F31" s="161"/>
      <c r="G31" s="161">
        <f t="shared" si="2"/>
        <v>6780</v>
      </c>
      <c r="I31">
        <v>3693.6</v>
      </c>
      <c r="J31" s="211">
        <f>K31/I31</f>
        <v>0.7222682477799437</v>
      </c>
      <c r="K31">
        <v>2667.77</v>
      </c>
    </row>
    <row r="32" spans="1:11" x14ac:dyDescent="0.25">
      <c r="A32" t="s">
        <v>216</v>
      </c>
      <c r="B32" s="158">
        <v>12</v>
      </c>
      <c r="C32" s="159">
        <v>6398</v>
      </c>
      <c r="D32" s="160">
        <f t="shared" si="3"/>
        <v>1.02</v>
      </c>
      <c r="E32" s="161">
        <v>6525.96</v>
      </c>
      <c r="F32" s="161"/>
      <c r="G32" s="161">
        <f t="shared" si="2"/>
        <v>6525.96</v>
      </c>
      <c r="I32">
        <v>14638.8</v>
      </c>
      <c r="J32" s="211">
        <f>K32/I32</f>
        <v>0.72136855479957374</v>
      </c>
      <c r="K32">
        <v>10559.97</v>
      </c>
    </row>
    <row r="33" spans="1:13" x14ac:dyDescent="0.25">
      <c r="B33" s="162"/>
      <c r="C33" s="163">
        <f>SUM(C21:C32)</f>
        <v>128818</v>
      </c>
      <c r="D33" s="164">
        <f>E33/C33</f>
        <v>0.9291633156856961</v>
      </c>
      <c r="E33" s="163">
        <f>SUM(E21:E32)</f>
        <v>119692.96</v>
      </c>
      <c r="F33" s="163">
        <f>SUM(F21:F32)</f>
        <v>0</v>
      </c>
      <c r="G33" s="163">
        <f>SUM(G21:G32)</f>
        <v>119692.96</v>
      </c>
      <c r="L33" s="66" t="s">
        <v>161</v>
      </c>
      <c r="M33" s="66"/>
    </row>
    <row r="34" spans="1:13" x14ac:dyDescent="0.25">
      <c r="L34" s="66" t="s">
        <v>107</v>
      </c>
      <c r="M34" s="66"/>
    </row>
    <row r="35" spans="1:13" x14ac:dyDescent="0.25">
      <c r="B35" s="260" t="s">
        <v>219</v>
      </c>
      <c r="C35" s="259"/>
      <c r="D35" s="259"/>
      <c r="E35" s="259"/>
      <c r="F35" s="259"/>
      <c r="G35" s="259"/>
      <c r="L35" s="66" t="s">
        <v>162</v>
      </c>
      <c r="M35" s="66"/>
    </row>
    <row r="36" spans="1:13" x14ac:dyDescent="0.25">
      <c r="B36" s="157" t="s">
        <v>166</v>
      </c>
      <c r="C36" s="157" t="s">
        <v>167</v>
      </c>
      <c r="D36" s="157" t="s">
        <v>168</v>
      </c>
      <c r="E36" s="157" t="s">
        <v>169</v>
      </c>
      <c r="F36" s="157" t="s">
        <v>170</v>
      </c>
      <c r="G36" s="157" t="s">
        <v>171</v>
      </c>
      <c r="L36" s="66"/>
      <c r="M36" s="66" t="s">
        <v>163</v>
      </c>
    </row>
    <row r="37" spans="1:13" x14ac:dyDescent="0.25">
      <c r="A37" s="165" t="s">
        <v>173</v>
      </c>
      <c r="B37" s="158">
        <v>1</v>
      </c>
      <c r="C37" s="159">
        <v>19500</v>
      </c>
      <c r="D37" s="160">
        <f>E37/C37</f>
        <v>0.73316871794871796</v>
      </c>
      <c r="E37" s="161">
        <v>14296.79</v>
      </c>
      <c r="F37" s="161"/>
      <c r="G37" s="161">
        <f>E37+F37</f>
        <v>14296.79</v>
      </c>
      <c r="I37">
        <f t="shared" ref="I37:I46" si="4">C37*50</f>
        <v>975000</v>
      </c>
    </row>
    <row r="38" spans="1:13" x14ac:dyDescent="0.25">
      <c r="A38" s="57" t="s">
        <v>176</v>
      </c>
      <c r="B38" s="158">
        <v>2</v>
      </c>
      <c r="C38" s="159">
        <v>13535.6</v>
      </c>
      <c r="D38" s="160">
        <f>E38/C38</f>
        <v>0.63244998374656458</v>
      </c>
      <c r="E38" s="161">
        <v>8560.59</v>
      </c>
      <c r="F38" s="161">
        <v>1112.8800000000001</v>
      </c>
      <c r="G38" s="161">
        <f t="shared" ref="G38:G48" si="5">E38+F38</f>
        <v>9673.4700000000012</v>
      </c>
      <c r="I38">
        <f t="shared" si="4"/>
        <v>676780</v>
      </c>
    </row>
    <row r="39" spans="1:13" x14ac:dyDescent="0.25">
      <c r="A39" s="57" t="s">
        <v>179</v>
      </c>
      <c r="B39" s="158">
        <v>3</v>
      </c>
      <c r="C39" s="159">
        <v>2168</v>
      </c>
      <c r="D39" s="160">
        <f>E39/C39</f>
        <v>0.6489068265682657</v>
      </c>
      <c r="E39" s="161">
        <v>1406.83</v>
      </c>
      <c r="F39" s="161">
        <v>182.89</v>
      </c>
      <c r="G39" s="161">
        <f t="shared" si="5"/>
        <v>1589.7199999999998</v>
      </c>
      <c r="I39">
        <f t="shared" si="4"/>
        <v>108400</v>
      </c>
    </row>
    <row r="40" spans="1:13" x14ac:dyDescent="0.25">
      <c r="A40" s="173" t="s">
        <v>183</v>
      </c>
      <c r="B40" s="158">
        <v>4</v>
      </c>
      <c r="C40" s="159">
        <v>15748</v>
      </c>
      <c r="D40" s="160">
        <f>E40/C40</f>
        <v>0.63873317246634498</v>
      </c>
      <c r="E40" s="161">
        <v>10058.77</v>
      </c>
      <c r="F40" s="161">
        <v>1307.6400000000001</v>
      </c>
      <c r="G40" s="161">
        <f t="shared" si="5"/>
        <v>11366.41</v>
      </c>
      <c r="I40">
        <f t="shared" si="4"/>
        <v>787400</v>
      </c>
    </row>
    <row r="41" spans="1:13" x14ac:dyDescent="0.25">
      <c r="A41" s="57" t="s">
        <v>190</v>
      </c>
      <c r="B41" s="158">
        <v>5</v>
      </c>
      <c r="C41" s="159">
        <v>15079.6</v>
      </c>
      <c r="D41" s="160">
        <f t="shared" ref="D41:D48" si="6">E41/C41</f>
        <v>0.63882132152046467</v>
      </c>
      <c r="E41" s="161">
        <v>9633.17</v>
      </c>
      <c r="F41" s="161">
        <v>1252.31</v>
      </c>
      <c r="G41" s="161">
        <f t="shared" si="5"/>
        <v>10885.48</v>
      </c>
      <c r="I41">
        <f t="shared" si="4"/>
        <v>753980</v>
      </c>
    </row>
    <row r="42" spans="1:13" x14ac:dyDescent="0.25">
      <c r="A42" s="57" t="s">
        <v>196</v>
      </c>
      <c r="B42" s="158">
        <v>6</v>
      </c>
      <c r="C42" s="159">
        <v>15882.8</v>
      </c>
      <c r="D42" s="160">
        <f t="shared" si="6"/>
        <v>0.63890938625431293</v>
      </c>
      <c r="E42" s="161">
        <v>10147.67</v>
      </c>
      <c r="F42" s="161">
        <v>1319.2</v>
      </c>
      <c r="G42" s="161">
        <f t="shared" si="5"/>
        <v>11466.87</v>
      </c>
      <c r="I42">
        <f t="shared" si="4"/>
        <v>794140</v>
      </c>
    </row>
    <row r="43" spans="1:13" x14ac:dyDescent="0.25">
      <c r="A43" s="57" t="s">
        <v>198</v>
      </c>
      <c r="B43" s="158">
        <v>7</v>
      </c>
      <c r="C43" s="159">
        <v>12502.8</v>
      </c>
      <c r="D43" s="160">
        <f t="shared" si="6"/>
        <v>0.61147662923505142</v>
      </c>
      <c r="E43" s="161">
        <v>7645.17</v>
      </c>
      <c r="F43" s="161">
        <v>993.87</v>
      </c>
      <c r="G43" s="161">
        <f t="shared" si="5"/>
        <v>8639.0400000000009</v>
      </c>
      <c r="I43">
        <f t="shared" si="4"/>
        <v>625140</v>
      </c>
    </row>
    <row r="44" spans="1:13" x14ac:dyDescent="0.25">
      <c r="A44" s="187" t="s">
        <v>203</v>
      </c>
      <c r="B44" s="158">
        <v>8</v>
      </c>
      <c r="C44" s="159">
        <v>14659.2</v>
      </c>
      <c r="D44" s="160">
        <f t="shared" si="6"/>
        <v>0.61404305828421735</v>
      </c>
      <c r="E44" s="161">
        <v>9001.3799999999992</v>
      </c>
      <c r="F44" s="161">
        <v>1170.18</v>
      </c>
      <c r="G44" s="161">
        <f t="shared" si="5"/>
        <v>10171.56</v>
      </c>
      <c r="I44">
        <f t="shared" si="4"/>
        <v>732960</v>
      </c>
    </row>
    <row r="45" spans="1:13" x14ac:dyDescent="0.25">
      <c r="A45" s="188" t="s">
        <v>205</v>
      </c>
      <c r="B45" s="158">
        <v>9</v>
      </c>
      <c r="C45" s="159">
        <v>15394.4</v>
      </c>
      <c r="D45" s="160">
        <f t="shared" si="6"/>
        <v>0.62811346983318617</v>
      </c>
      <c r="E45" s="161">
        <v>9669.43</v>
      </c>
      <c r="F45" s="161">
        <v>1257.03</v>
      </c>
      <c r="G45" s="161">
        <f t="shared" si="5"/>
        <v>10926.460000000001</v>
      </c>
      <c r="I45">
        <f t="shared" si="4"/>
        <v>769720</v>
      </c>
    </row>
    <row r="46" spans="1:13" x14ac:dyDescent="0.25">
      <c r="A46" s="57" t="s">
        <v>210</v>
      </c>
      <c r="B46" s="158">
        <v>10</v>
      </c>
      <c r="C46" s="159">
        <v>13717.6</v>
      </c>
      <c r="D46" s="160">
        <f t="shared" si="6"/>
        <v>0.62926459438968918</v>
      </c>
      <c r="E46" s="161">
        <v>8632</v>
      </c>
      <c r="F46" s="161">
        <v>1122.1600000000001</v>
      </c>
      <c r="G46" s="161">
        <f t="shared" si="5"/>
        <v>9754.16</v>
      </c>
      <c r="I46">
        <f t="shared" si="4"/>
        <v>685880</v>
      </c>
    </row>
    <row r="47" spans="1:13" x14ac:dyDescent="0.25">
      <c r="A47" s="57" t="s">
        <v>214</v>
      </c>
      <c r="B47" s="158">
        <v>11</v>
      </c>
      <c r="C47" s="159">
        <v>14601.6</v>
      </c>
      <c r="D47" s="160">
        <f t="shared" si="6"/>
        <v>0.6324505533640149</v>
      </c>
      <c r="E47" s="161">
        <v>9234.7900000000009</v>
      </c>
      <c r="F47" s="161">
        <v>1200.52</v>
      </c>
      <c r="G47" s="161">
        <f t="shared" si="5"/>
        <v>10435.310000000001</v>
      </c>
      <c r="I47">
        <f>C47*50</f>
        <v>730080</v>
      </c>
    </row>
    <row r="48" spans="1:13" x14ac:dyDescent="0.25">
      <c r="A48" t="s">
        <v>216</v>
      </c>
      <c r="B48" s="158">
        <v>12</v>
      </c>
      <c r="C48" s="159">
        <v>13686.8</v>
      </c>
      <c r="D48" s="160">
        <f t="shared" si="6"/>
        <v>0.62165371014408055</v>
      </c>
      <c r="E48" s="161">
        <v>8508.4500000000007</v>
      </c>
      <c r="F48" s="161">
        <v>1106.0999999999999</v>
      </c>
      <c r="G48" s="161">
        <f t="shared" si="5"/>
        <v>9614.5500000000011</v>
      </c>
      <c r="I48">
        <f>C48*50</f>
        <v>684340</v>
      </c>
    </row>
    <row r="49" spans="1:11" x14ac:dyDescent="0.25">
      <c r="B49" s="162"/>
      <c r="C49" s="163">
        <f>SUM(C37:C48)</f>
        <v>166476.4</v>
      </c>
      <c r="D49" s="164">
        <f>E49/C49</f>
        <v>0.64150257934457977</v>
      </c>
      <c r="E49" s="163">
        <f>SUM(E37:E48)</f>
        <v>106795.04</v>
      </c>
      <c r="F49" s="163">
        <f>SUM(F37:F48)</f>
        <v>12024.78</v>
      </c>
      <c r="G49" s="163">
        <f>SUM(G37:G48)</f>
        <v>118819.82</v>
      </c>
      <c r="I49">
        <f>SUM(I37:I48)</f>
        <v>8323820</v>
      </c>
      <c r="J49" s="155">
        <v>9028864.4600000009</v>
      </c>
      <c r="K49" s="171">
        <f>J49/C49</f>
        <v>54.235101551931692</v>
      </c>
    </row>
    <row r="50" spans="1:11" x14ac:dyDescent="0.25">
      <c r="I50" s="66"/>
      <c r="J50" s="66"/>
    </row>
    <row r="51" spans="1:11" x14ac:dyDescent="0.25">
      <c r="B51" s="260" t="s">
        <v>265</v>
      </c>
      <c r="C51" s="259"/>
      <c r="D51" s="259"/>
      <c r="E51" s="259"/>
      <c r="F51" s="259"/>
      <c r="G51" s="259"/>
    </row>
    <row r="52" spans="1:11" x14ac:dyDescent="0.25">
      <c r="B52" s="157" t="s">
        <v>166</v>
      </c>
      <c r="C52" s="157" t="s">
        <v>167</v>
      </c>
      <c r="D52" s="157" t="s">
        <v>168</v>
      </c>
      <c r="E52" s="157" t="s">
        <v>169</v>
      </c>
      <c r="F52" s="157" t="s">
        <v>170</v>
      </c>
      <c r="G52" s="157" t="s">
        <v>171</v>
      </c>
    </row>
    <row r="53" spans="1:11" x14ac:dyDescent="0.25">
      <c r="A53" s="165" t="s">
        <v>173</v>
      </c>
      <c r="B53" s="158">
        <v>1</v>
      </c>
      <c r="C53" s="225">
        <v>14585.2</v>
      </c>
      <c r="D53" s="160">
        <f>E53/C53</f>
        <v>0.63191865726901242</v>
      </c>
      <c r="E53" s="161">
        <v>9216.66</v>
      </c>
      <c r="F53" s="161">
        <v>1198.17</v>
      </c>
      <c r="G53" s="161">
        <f>E53+F53</f>
        <v>10414.83</v>
      </c>
      <c r="I53">
        <f t="shared" ref="I53:I62" si="7">C53*50</f>
        <v>729260</v>
      </c>
    </row>
    <row r="54" spans="1:11" x14ac:dyDescent="0.25">
      <c r="A54" s="57" t="s">
        <v>176</v>
      </c>
      <c r="B54" s="158">
        <v>2</v>
      </c>
      <c r="C54" s="225">
        <v>9111.2000000000007</v>
      </c>
      <c r="D54" s="160">
        <f>E54/C54</f>
        <v>0.63705219949073666</v>
      </c>
      <c r="E54" s="161">
        <v>5804.31</v>
      </c>
      <c r="F54" s="161">
        <v>754.56</v>
      </c>
      <c r="G54" s="161">
        <f t="shared" ref="G54:G64" si="8">E54+F54</f>
        <v>6558.8700000000008</v>
      </c>
      <c r="I54">
        <f t="shared" si="7"/>
        <v>455560.00000000006</v>
      </c>
    </row>
    <row r="55" spans="1:11" x14ac:dyDescent="0.25">
      <c r="A55" s="57" t="s">
        <v>179</v>
      </c>
      <c r="B55" s="158">
        <v>3</v>
      </c>
      <c r="C55" s="225">
        <v>6703.6</v>
      </c>
      <c r="D55" s="160">
        <f>E55/C55</f>
        <v>0.64705233009129415</v>
      </c>
      <c r="E55" s="161">
        <v>4337.58</v>
      </c>
      <c r="F55" s="161">
        <v>563.89</v>
      </c>
      <c r="G55" s="161">
        <f t="shared" si="8"/>
        <v>4901.47</v>
      </c>
      <c r="I55">
        <f t="shared" si="7"/>
        <v>335180</v>
      </c>
    </row>
    <row r="56" spans="1:11" x14ac:dyDescent="0.25">
      <c r="A56" s="173" t="s">
        <v>183</v>
      </c>
      <c r="B56" s="158">
        <v>4</v>
      </c>
      <c r="C56" s="225">
        <v>16442</v>
      </c>
      <c r="D56" s="160">
        <f>E56/C56</f>
        <v>0.62528159591290589</v>
      </c>
      <c r="E56" s="161">
        <v>10280.879999999999</v>
      </c>
      <c r="F56" s="161">
        <v>1336.52</v>
      </c>
      <c r="G56" s="161">
        <f t="shared" si="8"/>
        <v>11617.4</v>
      </c>
      <c r="I56">
        <f t="shared" si="7"/>
        <v>822100</v>
      </c>
    </row>
    <row r="57" spans="1:11" x14ac:dyDescent="0.25">
      <c r="A57" s="57" t="s">
        <v>190</v>
      </c>
      <c r="B57" s="158">
        <v>5</v>
      </c>
      <c r="C57" s="225">
        <v>14260</v>
      </c>
      <c r="D57" s="160">
        <f t="shared" ref="D57:D64" si="9">E57/C57</f>
        <v>0.62616690042075729</v>
      </c>
      <c r="E57" s="161">
        <v>8929.14</v>
      </c>
      <c r="F57" s="161">
        <v>1160.79</v>
      </c>
      <c r="G57" s="161">
        <f t="shared" si="8"/>
        <v>10089.93</v>
      </c>
      <c r="I57">
        <f t="shared" si="7"/>
        <v>713000</v>
      </c>
    </row>
    <row r="58" spans="1:11" x14ac:dyDescent="0.25">
      <c r="A58" s="57" t="s">
        <v>196</v>
      </c>
      <c r="B58" s="158">
        <v>6</v>
      </c>
      <c r="C58" s="225">
        <v>12711.6</v>
      </c>
      <c r="D58" s="160">
        <f t="shared" si="9"/>
        <v>0.64183108341986839</v>
      </c>
      <c r="E58" s="161">
        <v>8158.7</v>
      </c>
      <c r="F58" s="161">
        <v>1060.6300000000001</v>
      </c>
      <c r="G58" s="161">
        <f t="shared" si="8"/>
        <v>9219.33</v>
      </c>
      <c r="I58">
        <f t="shared" si="7"/>
        <v>635580</v>
      </c>
    </row>
    <row r="59" spans="1:11" x14ac:dyDescent="0.25">
      <c r="A59" s="57" t="s">
        <v>198</v>
      </c>
      <c r="B59" s="158">
        <v>7</v>
      </c>
      <c r="C59" s="225">
        <v>14099.6</v>
      </c>
      <c r="D59" s="160">
        <f t="shared" si="9"/>
        <v>0.61988354279554037</v>
      </c>
      <c r="E59" s="161">
        <v>8740.11</v>
      </c>
      <c r="F59" s="161">
        <v>1136.21</v>
      </c>
      <c r="G59" s="161">
        <f t="shared" si="8"/>
        <v>9876.32</v>
      </c>
      <c r="I59">
        <f t="shared" si="7"/>
        <v>704980</v>
      </c>
    </row>
    <row r="60" spans="1:11" x14ac:dyDescent="0.25">
      <c r="A60" s="187" t="s">
        <v>203</v>
      </c>
      <c r="B60" s="158">
        <v>8</v>
      </c>
      <c r="C60" s="225">
        <v>12654</v>
      </c>
      <c r="D60" s="160">
        <f t="shared" si="9"/>
        <v>0.60236130867709814</v>
      </c>
      <c r="E60" s="161">
        <v>7622.28</v>
      </c>
      <c r="F60" s="161">
        <v>990.9</v>
      </c>
      <c r="G60" s="161">
        <f t="shared" si="8"/>
        <v>8613.18</v>
      </c>
      <c r="I60">
        <f t="shared" si="7"/>
        <v>632700</v>
      </c>
    </row>
    <row r="61" spans="1:11" x14ac:dyDescent="0.25">
      <c r="A61" s="188" t="s">
        <v>205</v>
      </c>
      <c r="B61" s="158">
        <v>9</v>
      </c>
      <c r="C61" s="225">
        <v>14051.2</v>
      </c>
      <c r="D61" s="160">
        <f t="shared" si="9"/>
        <v>0.62342362218173542</v>
      </c>
      <c r="E61" s="161">
        <v>8759.85</v>
      </c>
      <c r="F61" s="161">
        <v>1138.78</v>
      </c>
      <c r="G61" s="161">
        <f t="shared" si="8"/>
        <v>9898.630000000001</v>
      </c>
      <c r="I61">
        <f t="shared" si="7"/>
        <v>702560</v>
      </c>
    </row>
    <row r="62" spans="1:11" x14ac:dyDescent="0.25">
      <c r="A62" s="57" t="s">
        <v>210</v>
      </c>
      <c r="B62" s="158">
        <v>10</v>
      </c>
      <c r="C62" s="225">
        <v>13541.2</v>
      </c>
      <c r="D62" s="160">
        <f t="shared" si="9"/>
        <v>0.63669837237467874</v>
      </c>
      <c r="E62" s="161">
        <v>8621.66</v>
      </c>
      <c r="F62" s="161">
        <v>1120.82</v>
      </c>
      <c r="G62" s="161">
        <f t="shared" si="8"/>
        <v>9742.48</v>
      </c>
      <c r="I62">
        <f t="shared" si="7"/>
        <v>677060</v>
      </c>
    </row>
    <row r="63" spans="1:11" x14ac:dyDescent="0.25">
      <c r="A63" s="57" t="s">
        <v>214</v>
      </c>
      <c r="B63" s="158">
        <v>11</v>
      </c>
      <c r="C63" s="225">
        <v>14225.6</v>
      </c>
      <c r="D63" s="160">
        <f t="shared" si="9"/>
        <v>0.63652148239793049</v>
      </c>
      <c r="E63" s="161">
        <v>9054.9</v>
      </c>
      <c r="F63" s="161">
        <v>1177.1400000000001</v>
      </c>
      <c r="G63" s="161">
        <f t="shared" si="8"/>
        <v>10232.039999999999</v>
      </c>
      <c r="I63">
        <f>C63*50</f>
        <v>711280</v>
      </c>
    </row>
    <row r="64" spans="1:11" x14ac:dyDescent="0.25">
      <c r="A64" t="s">
        <v>216</v>
      </c>
      <c r="B64" s="158">
        <v>12</v>
      </c>
      <c r="C64" s="225">
        <v>13584.8</v>
      </c>
      <c r="D64" s="160">
        <f t="shared" si="9"/>
        <v>0.6163440021200165</v>
      </c>
      <c r="E64" s="161">
        <v>8372.91</v>
      </c>
      <c r="F64" s="161">
        <v>1088.48</v>
      </c>
      <c r="G64" s="161">
        <f t="shared" si="8"/>
        <v>9461.39</v>
      </c>
      <c r="I64">
        <f>C64*50</f>
        <v>679240</v>
      </c>
    </row>
    <row r="65" spans="2:11" x14ac:dyDescent="0.25">
      <c r="B65" s="162"/>
      <c r="C65" s="163">
        <f>SUM(C53:C64)</f>
        <v>155970</v>
      </c>
      <c r="D65" s="164">
        <f>E65/C65</f>
        <v>0.62767827146246069</v>
      </c>
      <c r="E65" s="163">
        <f>SUM(E53:E64)</f>
        <v>97898.98</v>
      </c>
      <c r="F65" s="163">
        <f>SUM(F53:F64)</f>
        <v>12726.89</v>
      </c>
      <c r="G65" s="163">
        <f>SUM(G53:G64)</f>
        <v>110625.87</v>
      </c>
      <c r="I65">
        <f>SUM(I53:I64)</f>
        <v>7798500</v>
      </c>
      <c r="J65" s="155">
        <v>8369391.9800000004</v>
      </c>
      <c r="K65" s="171">
        <f>J65/C65</f>
        <v>53.660267872026672</v>
      </c>
    </row>
  </sheetData>
  <mergeCells count="4">
    <mergeCell ref="B3:G3"/>
    <mergeCell ref="B19:G19"/>
    <mergeCell ref="B35:G35"/>
    <mergeCell ref="B51:G51"/>
  </mergeCells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A6F43-2529-40F3-BC01-EC119F080EBC}">
  <dimension ref="B2:Y151"/>
  <sheetViews>
    <sheetView topLeftCell="A104" zoomScale="85" zoomScaleNormal="85" workbookViewId="0">
      <selection activeCell="P136" sqref="P136:P137"/>
    </sheetView>
  </sheetViews>
  <sheetFormatPr defaultRowHeight="15.6" x14ac:dyDescent="0.25"/>
  <cols>
    <col min="2" max="2" width="11.69921875" customWidth="1"/>
    <col min="3" max="3" width="5.59765625" bestFit="1" customWidth="1"/>
    <col min="4" max="5" width="10.09765625" bestFit="1" customWidth="1"/>
    <col min="6" max="6" width="12.296875" bestFit="1" customWidth="1"/>
    <col min="7" max="7" width="13.5" bestFit="1" customWidth="1"/>
    <col min="8" max="8" width="10.09765625" bestFit="1" customWidth="1"/>
    <col min="9" max="9" width="12.296875" customWidth="1"/>
    <col min="10" max="10" width="11" customWidth="1"/>
    <col min="11" max="11" width="12.296875" bestFit="1" customWidth="1"/>
    <col min="12" max="12" width="13.5" bestFit="1" customWidth="1"/>
    <col min="13" max="13" width="16.19921875" bestFit="1" customWidth="1"/>
    <col min="14" max="15" width="12.296875" bestFit="1" customWidth="1"/>
    <col min="16" max="16" width="5.5" bestFit="1" customWidth="1"/>
    <col min="18" max="19" width="16.09765625" bestFit="1" customWidth="1"/>
    <col min="20" max="20" width="3.5" bestFit="1" customWidth="1"/>
    <col min="21" max="21" width="8" bestFit="1" customWidth="1"/>
    <col min="22" max="22" width="8.5" bestFit="1" customWidth="1"/>
    <col min="23" max="24" width="11.59765625" bestFit="1" customWidth="1"/>
    <col min="25" max="25" width="10.5" bestFit="1" customWidth="1"/>
  </cols>
  <sheetData>
    <row r="2" spans="2:16" x14ac:dyDescent="0.25">
      <c r="B2" s="244" t="s">
        <v>20</v>
      </c>
      <c r="C2" s="244" t="s">
        <v>21</v>
      </c>
      <c r="D2" s="244" t="s">
        <v>22</v>
      </c>
      <c r="E2" s="244"/>
      <c r="F2" s="244"/>
      <c r="G2" s="244" t="s">
        <v>23</v>
      </c>
      <c r="H2" s="244"/>
      <c r="I2" s="244"/>
      <c r="J2" s="244" t="s">
        <v>24</v>
      </c>
      <c r="K2" s="244"/>
      <c r="L2" s="244"/>
      <c r="M2" s="244" t="s">
        <v>25</v>
      </c>
      <c r="N2" s="244"/>
      <c r="O2" s="244"/>
      <c r="P2" s="244" t="s">
        <v>26</v>
      </c>
    </row>
    <row r="3" spans="2:16" x14ac:dyDescent="0.25">
      <c r="B3" s="244"/>
      <c r="C3" s="244"/>
      <c r="D3" s="200" t="s">
        <v>27</v>
      </c>
      <c r="E3" s="200" t="s">
        <v>28</v>
      </c>
      <c r="F3" s="200" t="s">
        <v>29</v>
      </c>
      <c r="G3" s="200" t="s">
        <v>27</v>
      </c>
      <c r="H3" s="200" t="s">
        <v>28</v>
      </c>
      <c r="I3" s="200" t="s">
        <v>29</v>
      </c>
      <c r="J3" s="200" t="s">
        <v>27</v>
      </c>
      <c r="K3" s="200" t="s">
        <v>28</v>
      </c>
      <c r="L3" s="200" t="s">
        <v>29</v>
      </c>
      <c r="M3" s="200" t="s">
        <v>27</v>
      </c>
      <c r="N3" s="200" t="s">
        <v>28</v>
      </c>
      <c r="O3" s="200" t="s">
        <v>29</v>
      </c>
      <c r="P3" s="244"/>
    </row>
    <row r="4" spans="2:16" x14ac:dyDescent="0.25">
      <c r="B4" s="200" t="s">
        <v>226</v>
      </c>
      <c r="C4" s="200" t="s">
        <v>227</v>
      </c>
      <c r="D4" s="200">
        <v>89.063000000000002</v>
      </c>
      <c r="E4" s="200">
        <v>3913.4374543862205</v>
      </c>
      <c r="F4" s="200">
        <v>348542.48</v>
      </c>
      <c r="G4" s="201">
        <v>178.262</v>
      </c>
      <c r="H4" s="202">
        <v>3720.7936071624904</v>
      </c>
      <c r="I4" s="202">
        <v>663276.10999999987</v>
      </c>
      <c r="J4" s="201">
        <v>180.64</v>
      </c>
      <c r="K4" s="203">
        <v>3784.975554100813</v>
      </c>
      <c r="L4" s="202">
        <v>683717.98409277084</v>
      </c>
      <c r="M4" s="201">
        <v>86.685000000000002</v>
      </c>
      <c r="N4" s="202">
        <v>3784.9755541008135</v>
      </c>
      <c r="O4" s="202">
        <v>328100.60590722901</v>
      </c>
      <c r="P4" s="212" t="s">
        <v>230</v>
      </c>
    </row>
    <row r="5" spans="2:16" x14ac:dyDescent="0.25">
      <c r="B5" s="210" t="s">
        <v>229</v>
      </c>
      <c r="C5" s="200" t="s">
        <v>227</v>
      </c>
      <c r="D5" s="200"/>
      <c r="E5" s="200"/>
      <c r="F5" s="202"/>
      <c r="G5" s="201">
        <v>7.7450000000000001</v>
      </c>
      <c r="H5" s="202">
        <v>4010.5810200129117</v>
      </c>
      <c r="I5" s="202">
        <v>31061.95</v>
      </c>
      <c r="J5" s="201">
        <v>7.7450000000000001</v>
      </c>
      <c r="K5" s="203">
        <v>4010.5810200129117</v>
      </c>
      <c r="L5" s="202">
        <v>31061.95</v>
      </c>
      <c r="M5" s="201">
        <v>0</v>
      </c>
      <c r="N5" s="202" t="e">
        <v>#DIV/0!</v>
      </c>
      <c r="O5" s="202">
        <v>0</v>
      </c>
      <c r="P5" s="212" t="s">
        <v>230</v>
      </c>
    </row>
    <row r="6" spans="2:16" x14ac:dyDescent="0.25">
      <c r="B6" s="200"/>
      <c r="C6" s="200"/>
      <c r="D6" s="200"/>
      <c r="E6" s="200"/>
      <c r="F6" s="200"/>
      <c r="G6" s="201"/>
      <c r="H6" s="202"/>
      <c r="I6" s="202"/>
      <c r="J6" s="201"/>
      <c r="K6" s="203"/>
      <c r="L6" s="202"/>
      <c r="M6" s="201"/>
      <c r="N6" s="202"/>
      <c r="O6" s="202"/>
      <c r="P6" s="212"/>
    </row>
    <row r="7" spans="2:16" x14ac:dyDescent="0.25">
      <c r="B7" s="200"/>
      <c r="C7" s="200"/>
      <c r="D7" s="200"/>
      <c r="E7" s="200"/>
      <c r="F7" s="200"/>
      <c r="G7" s="201"/>
      <c r="H7" s="202"/>
      <c r="I7" s="202"/>
      <c r="J7" s="201"/>
      <c r="K7" s="203"/>
      <c r="L7" s="202"/>
      <c r="M7" s="201"/>
      <c r="N7" s="202"/>
      <c r="O7" s="202"/>
      <c r="P7" s="212"/>
    </row>
    <row r="12" spans="2:16" x14ac:dyDescent="0.25">
      <c r="H12" s="10"/>
      <c r="I12" s="10"/>
      <c r="J12" s="180">
        <f>SUM(J4:J7)</f>
        <v>188.38499999999999</v>
      </c>
      <c r="K12" s="99">
        <f>L12/J12</f>
        <v>3794.2507847905663</v>
      </c>
      <c r="L12" s="10">
        <f>SUM(L4:L7)</f>
        <v>714779.9340927708</v>
      </c>
      <c r="M12" s="10"/>
      <c r="N12" s="10"/>
      <c r="O12" s="10">
        <f>测算表!H20/0.13-O8</f>
        <v>0</v>
      </c>
      <c r="P12" s="9"/>
    </row>
    <row r="13" spans="2:16" x14ac:dyDescent="0.25">
      <c r="H13" s="10"/>
      <c r="I13" s="10"/>
      <c r="J13" s="180">
        <f>J12*0.09</f>
        <v>16.954649999999997</v>
      </c>
      <c r="K13" s="9">
        <v>2930</v>
      </c>
      <c r="L13" s="9">
        <f>J13*K13</f>
        <v>49677.124499999991</v>
      </c>
      <c r="M13" s="10"/>
      <c r="N13" s="10"/>
      <c r="O13" s="10"/>
      <c r="P13" s="9"/>
    </row>
    <row r="14" spans="2:16" x14ac:dyDescent="0.25">
      <c r="H14" s="10"/>
      <c r="I14" s="172"/>
      <c r="J14" s="10"/>
      <c r="K14" s="9"/>
      <c r="L14" s="9"/>
      <c r="M14" s="10"/>
      <c r="N14" s="10"/>
      <c r="O14" s="10"/>
      <c r="P14" s="9"/>
    </row>
    <row r="15" spans="2:16" x14ac:dyDescent="0.25">
      <c r="H15" s="10"/>
      <c r="I15" s="10"/>
      <c r="J15" s="10"/>
      <c r="K15" s="10"/>
      <c r="L15" s="10"/>
      <c r="M15" s="10"/>
      <c r="N15" s="10"/>
      <c r="O15" s="10"/>
      <c r="P15" s="9"/>
    </row>
    <row r="16" spans="2:16" x14ac:dyDescent="0.25">
      <c r="H16" s="10"/>
      <c r="I16" s="10"/>
      <c r="J16" s="10"/>
      <c r="K16" s="10"/>
      <c r="L16" s="12"/>
      <c r="M16" s="10"/>
      <c r="N16" s="10"/>
      <c r="O16" s="10"/>
      <c r="P16" s="9"/>
    </row>
    <row r="17" spans="8:16" x14ac:dyDescent="0.25">
      <c r="H17" s="10"/>
      <c r="I17" s="191" t="s">
        <v>188</v>
      </c>
      <c r="J17" s="192">
        <v>7</v>
      </c>
      <c r="K17" s="193">
        <v>2700</v>
      </c>
      <c r="L17" s="193">
        <v>18900</v>
      </c>
      <c r="M17" s="194" t="s">
        <v>189</v>
      </c>
      <c r="N17" s="10"/>
      <c r="O17" s="10"/>
      <c r="P17" s="9"/>
    </row>
    <row r="18" spans="8:16" x14ac:dyDescent="0.25">
      <c r="H18" s="10"/>
      <c r="I18" s="191" t="s">
        <v>188</v>
      </c>
      <c r="J18" s="192">
        <v>18.5</v>
      </c>
      <c r="K18" s="193">
        <v>2886.0502702702702</v>
      </c>
      <c r="L18" s="193">
        <v>53391.93</v>
      </c>
      <c r="M18" s="194" t="s">
        <v>194</v>
      </c>
      <c r="N18" s="10"/>
      <c r="O18" s="10"/>
      <c r="P18" s="9"/>
    </row>
    <row r="19" spans="8:16" x14ac:dyDescent="0.25">
      <c r="H19" s="10"/>
      <c r="I19" s="191" t="s">
        <v>188</v>
      </c>
      <c r="J19" s="192">
        <v>3.375</v>
      </c>
      <c r="K19" s="193">
        <v>2834.9778415015599</v>
      </c>
      <c r="L19" s="193">
        <v>9568.0502150677639</v>
      </c>
      <c r="M19" s="194" t="s">
        <v>197</v>
      </c>
      <c r="N19" s="10"/>
      <c r="O19" s="10"/>
      <c r="P19" s="9"/>
    </row>
    <row r="20" spans="8:16" x14ac:dyDescent="0.25">
      <c r="H20" s="10"/>
      <c r="I20" s="191" t="s">
        <v>188</v>
      </c>
      <c r="J20" s="192">
        <v>1.7919</v>
      </c>
      <c r="K20" s="193">
        <v>2834.9778415015599</v>
      </c>
      <c r="L20" s="193">
        <v>5079.9967941866498</v>
      </c>
      <c r="M20" s="194" t="s">
        <v>200</v>
      </c>
      <c r="N20" s="10"/>
      <c r="O20" s="10"/>
      <c r="P20" s="9"/>
    </row>
    <row r="21" spans="8:16" x14ac:dyDescent="0.25">
      <c r="H21" s="10"/>
      <c r="I21" s="191" t="s">
        <v>188</v>
      </c>
      <c r="J21" s="195">
        <v>6.4232100000000001</v>
      </c>
      <c r="K21" s="196">
        <v>2834.9778415015599</v>
      </c>
      <c r="L21" s="196">
        <v>18209.66</v>
      </c>
      <c r="M21" s="194" t="s">
        <v>204</v>
      </c>
      <c r="N21" s="10"/>
      <c r="O21" s="10"/>
      <c r="P21" s="9"/>
    </row>
    <row r="22" spans="8:16" x14ac:dyDescent="0.25">
      <c r="H22" s="10"/>
      <c r="I22" s="191" t="s">
        <v>188</v>
      </c>
      <c r="J22" s="195">
        <v>10.068480000000001</v>
      </c>
      <c r="K22" s="196">
        <f>L22/J22</f>
        <v>2834.978070175438</v>
      </c>
      <c r="L22" s="196">
        <v>28543.919999999998</v>
      </c>
      <c r="M22" s="194" t="s">
        <v>208</v>
      </c>
      <c r="N22" s="10"/>
      <c r="O22" s="10"/>
      <c r="P22" s="9"/>
    </row>
    <row r="23" spans="8:16" x14ac:dyDescent="0.25">
      <c r="H23" s="10"/>
      <c r="I23" s="191" t="s">
        <v>188</v>
      </c>
      <c r="J23" s="195">
        <v>10.221209999999999</v>
      </c>
      <c r="K23" s="196">
        <v>2834.9778415015599</v>
      </c>
      <c r="L23" s="196">
        <v>28976.9</v>
      </c>
      <c r="M23" s="194" t="s">
        <v>211</v>
      </c>
      <c r="N23" s="10"/>
      <c r="O23" s="10"/>
      <c r="P23" s="9"/>
    </row>
    <row r="24" spans="8:16" x14ac:dyDescent="0.25">
      <c r="H24" s="10"/>
      <c r="I24" s="191" t="s">
        <v>188</v>
      </c>
      <c r="J24" s="195">
        <v>16.785</v>
      </c>
      <c r="K24" s="196">
        <f>L24/J24</f>
        <v>2834.978254393804</v>
      </c>
      <c r="L24" s="196">
        <v>47585.11</v>
      </c>
      <c r="M24" s="194" t="s">
        <v>215</v>
      </c>
      <c r="N24" s="10"/>
      <c r="O24" s="10"/>
      <c r="P24" s="9"/>
    </row>
    <row r="25" spans="8:16" x14ac:dyDescent="0.25">
      <c r="H25" s="10"/>
      <c r="I25" s="191" t="s">
        <v>188</v>
      </c>
      <c r="J25" s="195">
        <v>19.074999999999999</v>
      </c>
      <c r="K25" s="196">
        <f>L25/J25</f>
        <v>3299.4521625163829</v>
      </c>
      <c r="L25" s="196">
        <v>62937.05</v>
      </c>
      <c r="M25" s="194" t="s">
        <v>220</v>
      </c>
      <c r="N25" s="10"/>
      <c r="O25" s="10"/>
      <c r="P25" s="9"/>
    </row>
    <row r="26" spans="8:16" x14ac:dyDescent="0.25">
      <c r="H26" s="10"/>
      <c r="I26" s="10"/>
      <c r="J26" s="10"/>
      <c r="K26" s="10"/>
      <c r="L26" s="11"/>
      <c r="M26" s="10"/>
      <c r="N26" s="10"/>
      <c r="O26" s="10"/>
      <c r="P26" s="9"/>
    </row>
    <row r="27" spans="8:16" x14ac:dyDescent="0.25">
      <c r="H27" s="10"/>
      <c r="I27" s="10"/>
      <c r="J27" s="180">
        <f>SUM(J17:J26)</f>
        <v>93.239800000000002</v>
      </c>
      <c r="K27" s="10">
        <f>2930</f>
        <v>2930</v>
      </c>
      <c r="L27" s="10">
        <f>SUM(L17:L26)</f>
        <v>273192.61700925441</v>
      </c>
      <c r="M27" s="10"/>
      <c r="N27" s="9">
        <f>L27/1.13</f>
        <v>241763.37788429594</v>
      </c>
      <c r="O27" s="10">
        <f>生产成本月结表!F11</f>
        <v>0</v>
      </c>
      <c r="P27" s="9"/>
    </row>
    <row r="28" spans="8:16" x14ac:dyDescent="0.25">
      <c r="H28" s="10"/>
      <c r="I28" s="10"/>
      <c r="J28" s="10"/>
      <c r="K28" s="10"/>
      <c r="L28" s="11">
        <f>J27*K27-L17-L18-L19-L20-L21-L22-L23-L24</f>
        <v>62937.046990745599</v>
      </c>
      <c r="M28" s="10"/>
      <c r="N28" s="9"/>
      <c r="O28" s="10">
        <f>N27-O27</f>
        <v>241763.37788429594</v>
      </c>
      <c r="P28" s="9"/>
    </row>
    <row r="29" spans="8:16" x14ac:dyDescent="0.25">
      <c r="H29" s="10"/>
      <c r="I29" s="10"/>
      <c r="J29" s="10"/>
      <c r="K29" s="10"/>
      <c r="L29" s="10"/>
      <c r="M29" s="10"/>
      <c r="N29" s="10"/>
      <c r="O29" s="10"/>
      <c r="P29" s="9"/>
    </row>
    <row r="30" spans="8:16" x14ac:dyDescent="0.25">
      <c r="H30" s="10"/>
      <c r="I30" s="10"/>
      <c r="J30" s="185">
        <v>85.323999999999998</v>
      </c>
      <c r="K30" s="10">
        <f>L30/J30</f>
        <v>2930.0079696216776</v>
      </c>
      <c r="L30" s="135">
        <v>250000</v>
      </c>
      <c r="M30" s="10"/>
      <c r="N30" s="9">
        <f t="shared" ref="N30:N35" si="0">L30/1.13</f>
        <v>221238.93805309737</v>
      </c>
      <c r="O30" s="10"/>
      <c r="P30" s="9"/>
    </row>
    <row r="31" spans="8:16" x14ac:dyDescent="0.25">
      <c r="H31" s="10"/>
      <c r="I31" s="10" t="s">
        <v>188</v>
      </c>
      <c r="J31" s="185">
        <f>J27-J30</f>
        <v>7.9158000000000044</v>
      </c>
      <c r="K31" s="10">
        <f>L31/J31</f>
        <v>2929.9144760168765</v>
      </c>
      <c r="L31" s="135">
        <f>L27-L30</f>
        <v>23192.617009254405</v>
      </c>
      <c r="M31" s="197" t="s">
        <v>221</v>
      </c>
      <c r="N31" s="9">
        <f t="shared" si="0"/>
        <v>20524.43983119859</v>
      </c>
      <c r="O31" s="10">
        <f t="shared" ref="O31:O36" si="1">N31*0.964963653865046</f>
        <v>19805.338453046679</v>
      </c>
      <c r="P31" s="10"/>
    </row>
    <row r="32" spans="8:16" x14ac:dyDescent="0.25">
      <c r="H32" s="10"/>
      <c r="I32" s="10" t="s">
        <v>188</v>
      </c>
      <c r="J32" s="185">
        <v>16.845930000000003</v>
      </c>
      <c r="K32" s="199">
        <f>L32/J32</f>
        <v>2930</v>
      </c>
      <c r="L32" s="135">
        <v>49358.574900000007</v>
      </c>
      <c r="M32" s="177" t="s">
        <v>222</v>
      </c>
      <c r="N32" s="9">
        <f t="shared" si="0"/>
        <v>43680.154778761069</v>
      </c>
      <c r="O32" s="10">
        <f t="shared" si="1"/>
        <v>42149.761756704029</v>
      </c>
      <c r="P32" s="9"/>
    </row>
    <row r="33" spans="2:25" x14ac:dyDescent="0.25">
      <c r="H33" s="10"/>
      <c r="I33" s="10" t="s">
        <v>188</v>
      </c>
      <c r="J33" s="185">
        <v>10.011509999999998</v>
      </c>
      <c r="K33" s="199">
        <f>L33/J33</f>
        <v>2930.0679218219839</v>
      </c>
      <c r="L33" s="10">
        <f>29333.7243+0.68</f>
        <v>29334.404300000002</v>
      </c>
      <c r="M33" s="197" t="s">
        <v>223</v>
      </c>
      <c r="N33" s="9">
        <f t="shared" si="0"/>
        <v>25959.649823008855</v>
      </c>
      <c r="O33" s="10">
        <f t="shared" si="1"/>
        <v>25050.11854626772</v>
      </c>
      <c r="P33" s="9"/>
    </row>
    <row r="34" spans="2:25" x14ac:dyDescent="0.25">
      <c r="H34" s="10"/>
      <c r="I34" s="10" t="s">
        <v>188</v>
      </c>
      <c r="J34" s="185">
        <v>9.8322299999999991</v>
      </c>
      <c r="K34" s="199">
        <v>2930</v>
      </c>
      <c r="L34" s="10">
        <v>28808.433899999996</v>
      </c>
      <c r="M34" s="177" t="s">
        <v>225</v>
      </c>
      <c r="N34" s="9">
        <f t="shared" si="0"/>
        <v>25494.189292035397</v>
      </c>
      <c r="O34" s="10">
        <f t="shared" si="1"/>
        <v>24600.966051569609</v>
      </c>
      <c r="P34" s="9"/>
    </row>
    <row r="35" spans="2:25" x14ac:dyDescent="0.25">
      <c r="H35" s="10"/>
      <c r="I35" s="10" t="s">
        <v>188</v>
      </c>
      <c r="J35" s="185">
        <v>6.5254499999999993</v>
      </c>
      <c r="K35" s="199">
        <v>2930</v>
      </c>
      <c r="L35" s="10">
        <v>19119.568499999998</v>
      </c>
      <c r="M35" s="177" t="s">
        <v>189</v>
      </c>
      <c r="N35" s="9">
        <f t="shared" si="0"/>
        <v>16919.972123893804</v>
      </c>
      <c r="O35" s="10">
        <f t="shared" si="1"/>
        <v>16327.158123967287</v>
      </c>
      <c r="P35" s="9"/>
    </row>
    <row r="36" spans="2:25" x14ac:dyDescent="0.25">
      <c r="H36" s="10"/>
      <c r="I36" s="10" t="s">
        <v>188</v>
      </c>
      <c r="J36" s="185">
        <v>16.954649999999997</v>
      </c>
      <c r="K36" s="199">
        <v>2930</v>
      </c>
      <c r="L36" s="10">
        <v>49677.124499999991</v>
      </c>
      <c r="M36" s="177" t="s">
        <v>194</v>
      </c>
      <c r="N36" s="9">
        <f>L36/1.13</f>
        <v>43962.057079646016</v>
      </c>
      <c r="O36" s="10">
        <f t="shared" si="1"/>
        <v>42421.787230998933</v>
      </c>
      <c r="P36" s="9"/>
    </row>
    <row r="37" spans="2:25" x14ac:dyDescent="0.25">
      <c r="H37" s="9"/>
      <c r="I37" s="9"/>
      <c r="J37" s="9"/>
      <c r="K37" s="9"/>
      <c r="L37" s="9"/>
      <c r="M37" s="9"/>
      <c r="N37" s="9"/>
      <c r="O37" s="9"/>
      <c r="P37" s="9"/>
    </row>
    <row r="38" spans="2:25" x14ac:dyDescent="0.25">
      <c r="H38" s="9"/>
      <c r="I38" s="9"/>
      <c r="J38" s="9"/>
      <c r="K38" s="9"/>
      <c r="L38" s="9"/>
      <c r="M38" s="9"/>
      <c r="N38" s="9"/>
      <c r="O38" s="9"/>
      <c r="P38" s="9"/>
    </row>
    <row r="39" spans="2:25" x14ac:dyDescent="0.25">
      <c r="H39" s="9"/>
      <c r="I39" s="9"/>
      <c r="J39" s="101">
        <f>SUM(J31:J38)</f>
        <v>68.08556999999999</v>
      </c>
      <c r="K39" s="9">
        <v>2930</v>
      </c>
      <c r="L39" s="10">
        <f>SUM(L31:L38)</f>
        <v>199490.72310925438</v>
      </c>
      <c r="M39" s="9"/>
      <c r="N39" s="9">
        <f>SUM(N31:N38)</f>
        <v>176540.46292854374</v>
      </c>
      <c r="O39" s="9">
        <f>SUM(O31:O38)</f>
        <v>170355.13016255424</v>
      </c>
      <c r="P39" s="9"/>
    </row>
    <row r="40" spans="2:25" x14ac:dyDescent="0.25">
      <c r="H40" s="9"/>
      <c r="I40" s="9"/>
      <c r="J40" s="9"/>
      <c r="K40" s="9"/>
      <c r="L40" s="11">
        <f>J39*K39-L31-L32-L33-L34-L35</f>
        <v>49677.121490745572</v>
      </c>
      <c r="M40" s="9"/>
      <c r="N40" s="9"/>
      <c r="O40" s="9">
        <f>N39-O39</f>
        <v>6185.3327659895003</v>
      </c>
      <c r="P40" s="9"/>
    </row>
    <row r="41" spans="2:25" x14ac:dyDescent="0.25">
      <c r="H41" s="9"/>
      <c r="I41" s="9"/>
      <c r="J41" s="9"/>
      <c r="K41" s="9"/>
      <c r="L41" s="9"/>
      <c r="M41" s="9"/>
      <c r="N41" s="9"/>
      <c r="O41" s="9"/>
      <c r="P41" s="9"/>
    </row>
    <row r="42" spans="2:25" x14ac:dyDescent="0.25">
      <c r="H42" s="9"/>
      <c r="I42" s="199" t="s">
        <v>228</v>
      </c>
      <c r="J42" s="101">
        <f>J27-J30+J39</f>
        <v>76.001369999999994</v>
      </c>
      <c r="K42" s="9">
        <f>L42/J42</f>
        <v>2929.9911319823418</v>
      </c>
      <c r="L42" s="9">
        <f>L27-L30+L39</f>
        <v>222683.34011850879</v>
      </c>
      <c r="M42" s="9"/>
      <c r="N42" s="9"/>
      <c r="O42" s="9"/>
      <c r="P42" s="9"/>
    </row>
    <row r="43" spans="2:25" x14ac:dyDescent="0.25">
      <c r="H43" s="9"/>
      <c r="I43" s="9"/>
      <c r="J43" s="9"/>
      <c r="K43" s="9"/>
      <c r="L43" s="9"/>
      <c r="M43" s="9"/>
      <c r="N43" s="9"/>
      <c r="O43" s="9"/>
      <c r="P43" s="9"/>
    </row>
    <row r="44" spans="2:25" x14ac:dyDescent="0.25">
      <c r="H44" s="9"/>
      <c r="I44" s="9"/>
      <c r="J44" s="9"/>
      <c r="K44" s="9"/>
      <c r="L44" s="9"/>
      <c r="M44" s="9"/>
      <c r="N44" s="9"/>
      <c r="O44" s="9"/>
      <c r="P44" s="9"/>
    </row>
    <row r="45" spans="2:25" s="213" customFormat="1" x14ac:dyDescent="0.25">
      <c r="H45" s="214"/>
      <c r="I45" s="214"/>
      <c r="J45" s="214"/>
      <c r="K45" s="214"/>
      <c r="L45" s="214"/>
      <c r="M45" s="214"/>
      <c r="N45" s="214"/>
      <c r="O45" s="214"/>
      <c r="P45" s="214"/>
      <c r="R45" s="213" t="s">
        <v>231</v>
      </c>
    </row>
    <row r="47" spans="2:25" x14ac:dyDescent="0.25">
      <c r="U47" t="s">
        <v>27</v>
      </c>
      <c r="V47" t="s">
        <v>28</v>
      </c>
      <c r="W47" t="s">
        <v>29</v>
      </c>
      <c r="X47" t="s">
        <v>159</v>
      </c>
      <c r="Y47" t="s">
        <v>233</v>
      </c>
    </row>
    <row r="48" spans="2:25" x14ac:dyDescent="0.25">
      <c r="B48" s="244" t="s">
        <v>20</v>
      </c>
      <c r="C48" s="244" t="s">
        <v>21</v>
      </c>
      <c r="D48" s="244" t="s">
        <v>22</v>
      </c>
      <c r="E48" s="244"/>
      <c r="F48" s="244"/>
      <c r="G48" s="244" t="s">
        <v>23</v>
      </c>
      <c r="H48" s="244"/>
      <c r="I48" s="244"/>
      <c r="J48" s="244" t="s">
        <v>24</v>
      </c>
      <c r="K48" s="244"/>
      <c r="L48" s="244"/>
      <c r="M48" s="244" t="s">
        <v>25</v>
      </c>
      <c r="N48" s="244"/>
      <c r="O48" s="244"/>
      <c r="P48" s="244" t="s">
        <v>26</v>
      </c>
      <c r="R48" s="215">
        <v>45467</v>
      </c>
      <c r="S48" t="s">
        <v>232</v>
      </c>
      <c r="T48" t="s">
        <v>227</v>
      </c>
      <c r="U48">
        <v>68.259</v>
      </c>
      <c r="V48" s="155">
        <f>W48/U48</f>
        <v>2592.9349975827363</v>
      </c>
      <c r="W48" s="155">
        <v>176991.15</v>
      </c>
      <c r="X48" s="155">
        <v>23008.85</v>
      </c>
      <c r="Y48" s="155">
        <v>200000</v>
      </c>
    </row>
    <row r="49" spans="2:25" x14ac:dyDescent="0.25">
      <c r="B49" s="244"/>
      <c r="C49" s="244"/>
      <c r="D49" s="200" t="s">
        <v>27</v>
      </c>
      <c r="E49" s="200" t="s">
        <v>28</v>
      </c>
      <c r="F49" s="200" t="s">
        <v>29</v>
      </c>
      <c r="G49" s="200" t="s">
        <v>27</v>
      </c>
      <c r="H49" s="200" t="s">
        <v>28</v>
      </c>
      <c r="I49" s="200" t="s">
        <v>29</v>
      </c>
      <c r="J49" s="200" t="s">
        <v>27</v>
      </c>
      <c r="K49" s="200" t="s">
        <v>28</v>
      </c>
      <c r="L49" s="200" t="s">
        <v>29</v>
      </c>
      <c r="M49" s="200" t="s">
        <v>27</v>
      </c>
      <c r="N49" s="200" t="s">
        <v>28</v>
      </c>
      <c r="O49" s="200" t="s">
        <v>29</v>
      </c>
      <c r="P49" s="244"/>
      <c r="V49" s="155">
        <f>Y48/U48</f>
        <v>2930.0165545935333</v>
      </c>
      <c r="W49" s="155"/>
      <c r="X49" s="155"/>
      <c r="Y49" s="155"/>
    </row>
    <row r="50" spans="2:25" x14ac:dyDescent="0.25">
      <c r="B50" s="200" t="s">
        <v>226</v>
      </c>
      <c r="C50" s="200" t="s">
        <v>227</v>
      </c>
      <c r="D50" s="200">
        <v>86.685000000000002</v>
      </c>
      <c r="E50" s="200">
        <v>3784.9756013151064</v>
      </c>
      <c r="F50" s="200">
        <v>328100.61</v>
      </c>
      <c r="G50" s="201">
        <v>75.48</v>
      </c>
      <c r="H50" s="202">
        <v>3820.2348966613672</v>
      </c>
      <c r="I50" s="202">
        <v>288351.33</v>
      </c>
      <c r="J50" s="201">
        <v>102.78599999999997</v>
      </c>
      <c r="K50" s="203">
        <v>3801.3871057256488</v>
      </c>
      <c r="L50" s="202">
        <v>390729.37504911644</v>
      </c>
      <c r="M50" s="201">
        <v>59.379000000000048</v>
      </c>
      <c r="N50" s="202">
        <v>3801.3871057256492</v>
      </c>
      <c r="O50" s="202">
        <v>225722.5649508835</v>
      </c>
      <c r="P50" s="212" t="s">
        <v>237</v>
      </c>
    </row>
    <row r="51" spans="2:25" x14ac:dyDescent="0.25">
      <c r="B51" s="217" t="s">
        <v>236</v>
      </c>
      <c r="C51" s="217" t="s">
        <v>227</v>
      </c>
      <c r="D51" s="200"/>
      <c r="E51" s="200"/>
      <c r="F51" s="202"/>
      <c r="G51" s="201">
        <v>8.234</v>
      </c>
      <c r="H51" s="202">
        <v>4309.7801797425318</v>
      </c>
      <c r="I51" s="202">
        <v>35486.730000000003</v>
      </c>
      <c r="J51" s="201">
        <v>8.234</v>
      </c>
      <c r="K51" s="203">
        <v>4309.7801797425318</v>
      </c>
      <c r="L51" s="202">
        <v>35486.730000000003</v>
      </c>
      <c r="M51" s="201">
        <v>0</v>
      </c>
      <c r="N51" s="202" t="e">
        <v>#DIV/0!</v>
      </c>
      <c r="O51" s="202">
        <v>0</v>
      </c>
      <c r="P51" s="212" t="s">
        <v>237</v>
      </c>
    </row>
    <row r="52" spans="2:25" x14ac:dyDescent="0.25">
      <c r="B52" s="200" t="s">
        <v>226</v>
      </c>
      <c r="C52" s="200" t="s">
        <v>227</v>
      </c>
      <c r="D52" s="206">
        <v>59.379000000000048</v>
      </c>
      <c r="E52" s="200">
        <v>3801.3870223479648</v>
      </c>
      <c r="F52" s="200">
        <v>225722.56</v>
      </c>
      <c r="G52" s="201">
        <v>259.37599999999998</v>
      </c>
      <c r="H52" s="202">
        <v>3828.8215177965585</v>
      </c>
      <c r="I52" s="202">
        <v>993104.41</v>
      </c>
      <c r="J52" s="201">
        <v>79</v>
      </c>
      <c r="K52" s="203">
        <v>3823.7109064955844</v>
      </c>
      <c r="L52" s="202">
        <v>302073.16161315114</v>
      </c>
      <c r="M52" s="201">
        <v>239.755</v>
      </c>
      <c r="N52" s="202">
        <v>3823.7109064955844</v>
      </c>
      <c r="O52" s="202">
        <v>916753.80838684877</v>
      </c>
      <c r="P52" s="212" t="s">
        <v>240</v>
      </c>
    </row>
    <row r="53" spans="2:25" x14ac:dyDescent="0.25">
      <c r="B53" s="200" t="s">
        <v>226</v>
      </c>
      <c r="C53" s="200" t="s">
        <v>227</v>
      </c>
      <c r="D53" s="201">
        <v>239.755</v>
      </c>
      <c r="E53" s="202">
        <v>3823.7109132239166</v>
      </c>
      <c r="F53" s="202">
        <v>916753.81</v>
      </c>
      <c r="G53" s="201">
        <v>104.67699999999999</v>
      </c>
      <c r="H53" s="202">
        <v>3678.9109355445803</v>
      </c>
      <c r="I53" s="202">
        <v>385097.36</v>
      </c>
      <c r="J53" s="201">
        <v>106.6</v>
      </c>
      <c r="K53" s="203">
        <v>3779.7044699679468</v>
      </c>
      <c r="L53" s="202">
        <v>402916.49649858312</v>
      </c>
      <c r="M53" s="201">
        <v>237.83200000000002</v>
      </c>
      <c r="N53" s="202">
        <v>3779.7044699679468</v>
      </c>
      <c r="O53" s="202">
        <v>898934.67350141681</v>
      </c>
      <c r="P53" s="212" t="s">
        <v>252</v>
      </c>
    </row>
    <row r="54" spans="2:25" x14ac:dyDescent="0.25">
      <c r="B54" s="217" t="s">
        <v>236</v>
      </c>
      <c r="C54" s="217" t="s">
        <v>227</v>
      </c>
      <c r="D54" s="201">
        <v>9.0860000000000003</v>
      </c>
      <c r="E54" s="202">
        <v>4310.0440237728371</v>
      </c>
      <c r="F54" s="202">
        <v>39161.06</v>
      </c>
      <c r="G54" s="201"/>
      <c r="H54" s="202"/>
      <c r="I54" s="202"/>
      <c r="J54" s="201">
        <v>9.0860000000000003</v>
      </c>
      <c r="K54" s="203">
        <v>4310.0440237728371</v>
      </c>
      <c r="L54" s="202">
        <v>39161.06</v>
      </c>
      <c r="M54" s="201">
        <v>0</v>
      </c>
      <c r="N54" s="202" t="e">
        <v>#DIV/0!</v>
      </c>
      <c r="O54" s="202">
        <v>0</v>
      </c>
      <c r="P54" s="212" t="s">
        <v>252</v>
      </c>
    </row>
    <row r="55" spans="2:25" x14ac:dyDescent="0.25">
      <c r="B55" s="210" t="s">
        <v>251</v>
      </c>
      <c r="C55" s="210" t="s">
        <v>227</v>
      </c>
      <c r="D55" s="201">
        <v>10.448</v>
      </c>
      <c r="E55" s="202">
        <v>3913.0158882082696</v>
      </c>
      <c r="F55" s="202">
        <v>40883.19</v>
      </c>
      <c r="G55" s="201"/>
      <c r="H55" s="202"/>
      <c r="I55" s="202"/>
      <c r="J55" s="201">
        <v>10.448</v>
      </c>
      <c r="K55" s="203">
        <v>3913.0158882082696</v>
      </c>
      <c r="L55" s="202">
        <v>40883.19</v>
      </c>
      <c r="M55" s="201">
        <v>0</v>
      </c>
      <c r="N55" s="202" t="e">
        <v>#DIV/0!</v>
      </c>
      <c r="O55" s="202">
        <v>0</v>
      </c>
      <c r="P55" s="212" t="s">
        <v>252</v>
      </c>
      <c r="R55" s="219" t="s">
        <v>257</v>
      </c>
      <c r="S55" t="s">
        <v>232</v>
      </c>
      <c r="T55" t="s">
        <v>227</v>
      </c>
      <c r="U55">
        <v>11.54</v>
      </c>
      <c r="V55">
        <f>W55/U55</f>
        <v>2300.5779896013864</v>
      </c>
      <c r="W55">
        <v>26548.67</v>
      </c>
      <c r="X55">
        <v>3451.33</v>
      </c>
      <c r="Y55">
        <v>30000</v>
      </c>
    </row>
    <row r="56" spans="2:25" x14ac:dyDescent="0.25">
      <c r="B56" s="200" t="s">
        <v>226</v>
      </c>
      <c r="C56" s="200" t="s">
        <v>227</v>
      </c>
      <c r="D56" s="201">
        <v>237.83200000000002</v>
      </c>
      <c r="E56" s="202">
        <v>3779.7044552457196</v>
      </c>
      <c r="F56" s="202">
        <v>898934.67</v>
      </c>
      <c r="G56" s="201">
        <v>56.070000000000007</v>
      </c>
      <c r="H56" s="202">
        <v>3650.7620831103968</v>
      </c>
      <c r="I56" s="202">
        <v>204698.22999999998</v>
      </c>
      <c r="J56" s="201">
        <v>154.80000000000001</v>
      </c>
      <c r="K56" s="203">
        <v>3755.105103061564</v>
      </c>
      <c r="L56" s="202">
        <v>581290.26995393017</v>
      </c>
      <c r="M56" s="201">
        <v>139.10200000000003</v>
      </c>
      <c r="N56" s="202">
        <v>3755.1051030615636</v>
      </c>
      <c r="O56" s="202">
        <v>522342.63004606974</v>
      </c>
      <c r="P56" s="212" t="s">
        <v>256</v>
      </c>
      <c r="V56" s="155">
        <f>Y55/U55</f>
        <v>2599.6533795493938</v>
      </c>
      <c r="W56" s="155">
        <f>W55/N65*O65</f>
        <v>25618.501608457333</v>
      </c>
    </row>
    <row r="57" spans="2:25" x14ac:dyDescent="0.25">
      <c r="B57" s="200"/>
      <c r="C57" s="200"/>
      <c r="D57" s="200"/>
      <c r="E57" s="200"/>
      <c r="F57" s="200"/>
      <c r="G57" s="201"/>
      <c r="H57" s="202"/>
      <c r="I57" s="202"/>
      <c r="J57" s="201"/>
      <c r="K57" s="203"/>
      <c r="L57" s="202"/>
      <c r="M57" s="201"/>
      <c r="N57" s="202"/>
      <c r="O57" s="202"/>
      <c r="P57" s="212"/>
    </row>
    <row r="58" spans="2:25" x14ac:dyDescent="0.25">
      <c r="B58" s="200"/>
      <c r="C58" s="200"/>
      <c r="D58" s="200"/>
      <c r="E58" s="200"/>
      <c r="F58" s="200"/>
      <c r="G58" s="201"/>
      <c r="H58" s="202"/>
      <c r="I58" s="202"/>
      <c r="J58" s="201"/>
      <c r="K58" s="203"/>
      <c r="L58" s="202"/>
      <c r="M58" s="201"/>
      <c r="N58" s="202"/>
      <c r="O58" s="202"/>
      <c r="P58" s="212"/>
    </row>
    <row r="59" spans="2:25" x14ac:dyDescent="0.25">
      <c r="B59" s="200"/>
      <c r="C59" s="200"/>
      <c r="D59" s="200"/>
      <c r="E59" s="200"/>
      <c r="F59" s="200"/>
      <c r="G59" s="201"/>
      <c r="H59" s="202"/>
      <c r="I59" s="202"/>
      <c r="J59" s="201"/>
      <c r="K59" s="203"/>
      <c r="L59" s="202"/>
      <c r="M59" s="201"/>
      <c r="N59" s="202"/>
      <c r="O59" s="202"/>
      <c r="P59" s="212"/>
    </row>
    <row r="63" spans="2:25" x14ac:dyDescent="0.25">
      <c r="G63">
        <f>K64*1.13</f>
        <v>4300.994406926583</v>
      </c>
    </row>
    <row r="64" spans="2:25" x14ac:dyDescent="0.25">
      <c r="G64">
        <f>K65/G63</f>
        <v>0.68123780753617114</v>
      </c>
      <c r="H64" s="10"/>
      <c r="I64" s="10"/>
      <c r="J64" s="180">
        <f>SUM(J50:J59)</f>
        <v>470.95400000000001</v>
      </c>
      <c r="K64" s="99">
        <f>L64/J64</f>
        <v>3806.1897406429939</v>
      </c>
      <c r="L64" s="10">
        <f>SUM(L50:L59)</f>
        <v>1792540.2831147807</v>
      </c>
      <c r="M64" s="10"/>
      <c r="N64" s="10"/>
      <c r="O64" s="10"/>
      <c r="P64" s="9"/>
    </row>
    <row r="65" spans="2:25" x14ac:dyDescent="0.25">
      <c r="H65" s="10"/>
      <c r="I65" s="10"/>
      <c r="J65" s="180">
        <f>J64*0.09</f>
        <v>42.385860000000001</v>
      </c>
      <c r="K65" s="9">
        <v>2930</v>
      </c>
      <c r="L65" s="9">
        <f>J65*K65</f>
        <v>124190.5698</v>
      </c>
      <c r="M65" s="10"/>
      <c r="N65" s="9">
        <f>L65/1.13</f>
        <v>109903.15911504425</v>
      </c>
      <c r="O65" s="9">
        <f>N65*0.964963653865046</f>
        <v>106052.55399096465</v>
      </c>
      <c r="P65" s="9"/>
    </row>
    <row r="66" spans="2:25" x14ac:dyDescent="0.25">
      <c r="G66">
        <f>V56/G63</f>
        <v>0.60443077427925829</v>
      </c>
      <c r="H66" s="10"/>
      <c r="I66" s="172"/>
      <c r="J66" s="10"/>
      <c r="K66" s="9"/>
      <c r="L66" s="9"/>
      <c r="M66" s="10"/>
      <c r="N66" s="9"/>
      <c r="O66" s="9">
        <f>N65-O65</f>
        <v>3850.6051240796078</v>
      </c>
      <c r="P66" s="9"/>
    </row>
    <row r="67" spans="2:25" x14ac:dyDescent="0.25">
      <c r="I67" s="199" t="s">
        <v>228</v>
      </c>
      <c r="J67" s="101">
        <f>J42-U48+J65</f>
        <v>50.128229999999995</v>
      </c>
      <c r="K67" s="9">
        <f>L67/J67</f>
        <v>2929.9640126632999</v>
      </c>
      <c r="L67" s="9">
        <f>L42-Y48+L65</f>
        <v>146873.90991850878</v>
      </c>
    </row>
    <row r="69" spans="2:25" s="213" customFormat="1" x14ac:dyDescent="0.25">
      <c r="R69" s="213" t="s">
        <v>231</v>
      </c>
    </row>
    <row r="71" spans="2:25" x14ac:dyDescent="0.25">
      <c r="U71" t="s">
        <v>27</v>
      </c>
      <c r="V71" t="s">
        <v>28</v>
      </c>
      <c r="W71" t="s">
        <v>29</v>
      </c>
      <c r="X71" t="s">
        <v>159</v>
      </c>
      <c r="Y71" t="s">
        <v>233</v>
      </c>
    </row>
    <row r="72" spans="2:25" x14ac:dyDescent="0.25">
      <c r="B72" s="244" t="s">
        <v>20</v>
      </c>
      <c r="C72" s="244" t="s">
        <v>21</v>
      </c>
      <c r="D72" s="244" t="s">
        <v>22</v>
      </c>
      <c r="E72" s="244"/>
      <c r="F72" s="244"/>
      <c r="G72" s="244" t="s">
        <v>23</v>
      </c>
      <c r="H72" s="244"/>
      <c r="I72" s="244"/>
      <c r="J72" s="244" t="s">
        <v>24</v>
      </c>
      <c r="K72" s="244"/>
      <c r="L72" s="244"/>
      <c r="M72" s="244" t="s">
        <v>25</v>
      </c>
      <c r="N72" s="244"/>
      <c r="O72" s="244"/>
      <c r="P72" s="244" t="s">
        <v>26</v>
      </c>
      <c r="R72" s="215" t="s">
        <v>264</v>
      </c>
      <c r="S72" t="s">
        <v>232</v>
      </c>
      <c r="T72" t="s">
        <v>227</v>
      </c>
      <c r="U72">
        <v>39.683999999999997</v>
      </c>
      <c r="V72" s="155">
        <f>W72/U72</f>
        <v>2230.0065517588955</v>
      </c>
      <c r="W72" s="155">
        <v>88495.58</v>
      </c>
      <c r="X72" s="155">
        <v>11504.42</v>
      </c>
      <c r="Y72" s="155">
        <v>100000</v>
      </c>
    </row>
    <row r="73" spans="2:25" x14ac:dyDescent="0.25">
      <c r="B73" s="244"/>
      <c r="C73" s="244"/>
      <c r="D73" s="200" t="s">
        <v>27</v>
      </c>
      <c r="E73" s="200" t="s">
        <v>28</v>
      </c>
      <c r="F73" s="200" t="s">
        <v>29</v>
      </c>
      <c r="G73" s="200" t="s">
        <v>27</v>
      </c>
      <c r="H73" s="200" t="s">
        <v>28</v>
      </c>
      <c r="I73" s="200" t="s">
        <v>29</v>
      </c>
      <c r="J73" s="200" t="s">
        <v>27</v>
      </c>
      <c r="K73" s="200" t="s">
        <v>28</v>
      </c>
      <c r="L73" s="200" t="s">
        <v>29</v>
      </c>
      <c r="M73" s="200" t="s">
        <v>27</v>
      </c>
      <c r="N73" s="200" t="s">
        <v>28</v>
      </c>
      <c r="O73" s="200" t="s">
        <v>29</v>
      </c>
      <c r="P73" s="244"/>
      <c r="R73" s="215" t="s">
        <v>264</v>
      </c>
      <c r="S73" t="s">
        <v>232</v>
      </c>
      <c r="T73" t="s">
        <v>227</v>
      </c>
      <c r="U73">
        <v>19.841999999999999</v>
      </c>
      <c r="V73" s="155">
        <f>W73/U73</f>
        <v>2230.0065517588955</v>
      </c>
      <c r="W73" s="155">
        <v>44247.79</v>
      </c>
      <c r="X73" s="155">
        <v>5752.21</v>
      </c>
      <c r="Y73" s="155">
        <v>50000</v>
      </c>
    </row>
    <row r="74" spans="2:25" x14ac:dyDescent="0.25">
      <c r="B74" s="200" t="s">
        <v>226</v>
      </c>
      <c r="C74" s="200" t="s">
        <v>227</v>
      </c>
      <c r="D74" s="201">
        <v>139.10200000000003</v>
      </c>
      <c r="E74" s="202">
        <v>3755.1051027303697</v>
      </c>
      <c r="F74" s="202">
        <v>522342.63</v>
      </c>
      <c r="G74" s="201">
        <v>83.156999999999996</v>
      </c>
      <c r="H74" s="202">
        <v>3527.8189448873813</v>
      </c>
      <c r="I74" s="202">
        <v>293362.83999999997</v>
      </c>
      <c r="J74" s="201">
        <v>147.19999999999999</v>
      </c>
      <c r="K74" s="203">
        <v>3670.0672188752756</v>
      </c>
      <c r="L74" s="202">
        <v>540233.89461844054</v>
      </c>
      <c r="M74" s="201">
        <v>75.059000000000026</v>
      </c>
      <c r="N74" s="202">
        <v>3670.067218875276</v>
      </c>
      <c r="O74" s="202">
        <v>275471.57538155944</v>
      </c>
      <c r="P74" s="212" t="s">
        <v>259</v>
      </c>
      <c r="U74">
        <v>59.525999999999996</v>
      </c>
      <c r="V74" s="155">
        <f>W74/U74</f>
        <v>2230.0065517588955</v>
      </c>
      <c r="W74">
        <v>132743.37</v>
      </c>
      <c r="X74" s="155">
        <f>SUM(X72:X73)</f>
        <v>17256.63</v>
      </c>
      <c r="Y74" s="155">
        <f>SUM(Y72:Y73)</f>
        <v>150000</v>
      </c>
    </row>
    <row r="75" spans="2:25" x14ac:dyDescent="0.25">
      <c r="B75" s="217" t="s">
        <v>226</v>
      </c>
      <c r="C75" s="217" t="s">
        <v>227</v>
      </c>
      <c r="D75" s="200">
        <v>75.059000000000026</v>
      </c>
      <c r="E75" s="200">
        <v>3670.0672804060796</v>
      </c>
      <c r="F75" s="202">
        <v>275471.58</v>
      </c>
      <c r="G75" s="201">
        <v>91.527000000000001</v>
      </c>
      <c r="H75" s="202">
        <v>3343.9331563363821</v>
      </c>
      <c r="I75" s="202">
        <v>306060.17000000004</v>
      </c>
      <c r="J75" s="201">
        <v>151.80000000000001</v>
      </c>
      <c r="K75" s="203">
        <v>3490.8800859616053</v>
      </c>
      <c r="L75" s="202">
        <v>529915.59704897169</v>
      </c>
      <c r="M75" s="201">
        <v>14.786000000000001</v>
      </c>
      <c r="N75" s="202">
        <v>3490.8800859616063</v>
      </c>
      <c r="O75" s="202">
        <v>51616.152951028314</v>
      </c>
      <c r="P75" s="212" t="s">
        <v>260</v>
      </c>
    </row>
    <row r="76" spans="2:25" x14ac:dyDescent="0.25">
      <c r="B76" s="200" t="s">
        <v>236</v>
      </c>
      <c r="C76" s="200" t="s">
        <v>227</v>
      </c>
      <c r="D76" s="206"/>
      <c r="E76" s="200"/>
      <c r="F76" s="200"/>
      <c r="G76" s="201">
        <v>10.537000000000001</v>
      </c>
      <c r="H76" s="202">
        <v>3787.7479358451169</v>
      </c>
      <c r="I76" s="202">
        <v>39911.5</v>
      </c>
      <c r="J76" s="201">
        <v>10.537000000000001</v>
      </c>
      <c r="K76" s="203">
        <v>3787.7479358451169</v>
      </c>
      <c r="L76" s="202">
        <v>39911.5</v>
      </c>
      <c r="M76" s="201">
        <v>0</v>
      </c>
      <c r="N76" s="202" t="e">
        <v>#DIV/0!</v>
      </c>
      <c r="O76" s="202">
        <v>0</v>
      </c>
      <c r="P76" s="212" t="s">
        <v>260</v>
      </c>
      <c r="V76">
        <f>Y74/U74</f>
        <v>2519.9072674125596</v>
      </c>
    </row>
    <row r="77" spans="2:25" x14ac:dyDescent="0.25">
      <c r="B77" s="200"/>
      <c r="C77" s="200"/>
      <c r="D77" s="201"/>
      <c r="E77" s="202"/>
      <c r="F77" s="202"/>
      <c r="G77" s="201"/>
      <c r="H77" s="202"/>
      <c r="I77" s="202"/>
      <c r="J77" s="201"/>
      <c r="K77" s="203"/>
      <c r="L77" s="202"/>
      <c r="M77" s="201"/>
      <c r="N77" s="202"/>
      <c r="O77" s="202"/>
      <c r="P77" s="212"/>
    </row>
    <row r="78" spans="2:25" x14ac:dyDescent="0.25">
      <c r="B78" s="217"/>
      <c r="C78" s="217"/>
      <c r="D78" s="201"/>
      <c r="E78" s="202"/>
      <c r="F78" s="202"/>
      <c r="G78" s="201"/>
      <c r="H78" s="202"/>
      <c r="I78" s="202"/>
      <c r="J78" s="201"/>
      <c r="K78" s="203"/>
      <c r="L78" s="202"/>
      <c r="M78" s="201"/>
      <c r="N78" s="202"/>
      <c r="O78" s="202"/>
      <c r="P78" s="212"/>
      <c r="W78" s="9">
        <f>W74/1.13</f>
        <v>117472.00884955753</v>
      </c>
      <c r="X78" s="9">
        <f>W78*0.984963653865046</f>
        <v>115705.65906332721</v>
      </c>
    </row>
    <row r="79" spans="2:25" x14ac:dyDescent="0.25">
      <c r="W79" s="9"/>
      <c r="X79" s="9">
        <f>W78-X78</f>
        <v>1766.3497862303193</v>
      </c>
    </row>
    <row r="80" spans="2:25" x14ac:dyDescent="0.25">
      <c r="H80" s="10"/>
      <c r="I80" s="10"/>
      <c r="J80" s="180">
        <f>SUM(J74:J78)</f>
        <v>309.53699999999998</v>
      </c>
      <c r="K80" s="99">
        <f>L80/J80</f>
        <v>3586.1980689462403</v>
      </c>
      <c r="L80" s="10">
        <f>SUM(L74:L78)</f>
        <v>1110060.9916674122</v>
      </c>
      <c r="M80" s="10"/>
      <c r="N80" s="10"/>
      <c r="O80" s="10"/>
      <c r="P80" s="9"/>
    </row>
    <row r="81" spans="2:25" x14ac:dyDescent="0.25">
      <c r="G81">
        <f>K80*1.13</f>
        <v>4052.4038179092513</v>
      </c>
      <c r="H81" s="10"/>
      <c r="I81" s="10"/>
      <c r="J81" s="180">
        <f>J80*0.09</f>
        <v>27.858329999999999</v>
      </c>
      <c r="K81" s="9">
        <v>2519.91</v>
      </c>
      <c r="L81" s="9">
        <f>J81*K81</f>
        <v>70200.484350299987</v>
      </c>
      <c r="M81" s="10"/>
      <c r="N81" s="9">
        <f>L81/1.13</f>
        <v>62124.322433893802</v>
      </c>
      <c r="O81" s="9">
        <f>N81*0.964963653865046</f>
        <v>59947.713169700408</v>
      </c>
      <c r="P81" s="9"/>
    </row>
    <row r="82" spans="2:25" x14ac:dyDescent="0.25">
      <c r="H82" s="10"/>
      <c r="I82" s="172"/>
      <c r="J82" s="10"/>
      <c r="K82" s="9"/>
      <c r="L82" s="9"/>
      <c r="M82" s="10"/>
      <c r="N82" s="9"/>
      <c r="O82" s="9">
        <f>N81-O81</f>
        <v>2176.6092641933938</v>
      </c>
      <c r="P82" s="9"/>
    </row>
    <row r="83" spans="2:25" x14ac:dyDescent="0.25">
      <c r="G83">
        <f>K84/G81</f>
        <v>0.62183092140607354</v>
      </c>
      <c r="I83" s="199" t="s">
        <v>228</v>
      </c>
      <c r="J83" s="101">
        <f>J67-U55+J81</f>
        <v>66.446559999999991</v>
      </c>
      <c r="K83" s="9">
        <f>L83/J83</f>
        <v>2474.0340831835388</v>
      </c>
      <c r="L83" s="9">
        <f>L65-Y55+L81</f>
        <v>164391.05415029998</v>
      </c>
    </row>
    <row r="84" spans="2:25" x14ac:dyDescent="0.25">
      <c r="K84">
        <v>2519.91</v>
      </c>
      <c r="L84" s="155">
        <f>J83*K84</f>
        <v>167439.35100959998</v>
      </c>
    </row>
    <row r="87" spans="2:25" s="213" customFormat="1" x14ac:dyDescent="0.25">
      <c r="R87" s="213" t="s">
        <v>231</v>
      </c>
    </row>
    <row r="90" spans="2:25" x14ac:dyDescent="0.25">
      <c r="U90" t="s">
        <v>27</v>
      </c>
      <c r="V90" t="s">
        <v>28</v>
      </c>
      <c r="W90" t="s">
        <v>29</v>
      </c>
      <c r="X90" t="s">
        <v>159</v>
      </c>
      <c r="Y90" t="s">
        <v>233</v>
      </c>
    </row>
    <row r="91" spans="2:25" x14ac:dyDescent="0.25">
      <c r="B91" s="244" t="s">
        <v>20</v>
      </c>
      <c r="C91" s="244" t="s">
        <v>21</v>
      </c>
      <c r="D91" s="244" t="s">
        <v>22</v>
      </c>
      <c r="E91" s="244"/>
      <c r="F91" s="244"/>
      <c r="G91" s="244" t="s">
        <v>23</v>
      </c>
      <c r="H91" s="244"/>
      <c r="I91" s="244"/>
      <c r="J91" s="244" t="s">
        <v>24</v>
      </c>
      <c r="K91" s="244"/>
      <c r="L91" s="244"/>
      <c r="M91" s="244" t="s">
        <v>25</v>
      </c>
      <c r="N91" s="244"/>
      <c r="O91" s="244"/>
      <c r="P91" s="244" t="s">
        <v>26</v>
      </c>
      <c r="R91" s="224" t="s">
        <v>281</v>
      </c>
      <c r="S91" s="57" t="s">
        <v>279</v>
      </c>
      <c r="T91" s="57" t="s">
        <v>280</v>
      </c>
      <c r="U91">
        <v>36.534999999999997</v>
      </c>
      <c r="V91" s="155">
        <f>W91/U91</f>
        <v>2179.9923361160536</v>
      </c>
      <c r="W91" s="155">
        <v>79646.02</v>
      </c>
      <c r="X91" s="155">
        <v>10353.98</v>
      </c>
      <c r="Y91" s="155">
        <v>90000</v>
      </c>
    </row>
    <row r="92" spans="2:25" x14ac:dyDescent="0.25">
      <c r="B92" s="244"/>
      <c r="C92" s="244"/>
      <c r="D92" s="200" t="s">
        <v>27</v>
      </c>
      <c r="E92" s="200" t="s">
        <v>28</v>
      </c>
      <c r="F92" s="200" t="s">
        <v>29</v>
      </c>
      <c r="G92" s="200" t="s">
        <v>27</v>
      </c>
      <c r="H92" s="200" t="s">
        <v>28</v>
      </c>
      <c r="I92" s="200" t="s">
        <v>29</v>
      </c>
      <c r="J92" s="200" t="s">
        <v>27</v>
      </c>
      <c r="K92" s="200" t="s">
        <v>28</v>
      </c>
      <c r="L92" s="200" t="s">
        <v>29</v>
      </c>
      <c r="M92" s="200" t="s">
        <v>27</v>
      </c>
      <c r="N92" s="200" t="s">
        <v>28</v>
      </c>
      <c r="O92" s="200" t="s">
        <v>29</v>
      </c>
      <c r="P92" s="244"/>
      <c r="V92" s="155"/>
      <c r="W92" s="155"/>
      <c r="X92" s="155"/>
      <c r="Y92" s="155"/>
    </row>
    <row r="93" spans="2:25" x14ac:dyDescent="0.25">
      <c r="B93" s="200" t="s">
        <v>226</v>
      </c>
      <c r="C93" s="200" t="s">
        <v>227</v>
      </c>
      <c r="D93" s="201">
        <v>14.786000000000001</v>
      </c>
      <c r="E93" s="202">
        <v>3490.8798863790071</v>
      </c>
      <c r="F93" s="202">
        <v>51616.15</v>
      </c>
      <c r="G93" s="201">
        <v>202.97100000000003</v>
      </c>
      <c r="H93" s="202">
        <v>3581.4524242379453</v>
      </c>
      <c r="I93" s="202">
        <v>726930.9800000001</v>
      </c>
      <c r="J93" s="201">
        <v>127.2</v>
      </c>
      <c r="K93" s="203">
        <v>3575.3024242619067</v>
      </c>
      <c r="L93" s="202">
        <v>454778.46836611454</v>
      </c>
      <c r="M93" s="201">
        <v>90.557000000000031</v>
      </c>
      <c r="N93" s="202">
        <v>3575.3024242619067</v>
      </c>
      <c r="O93" s="202">
        <v>323768.66163388558</v>
      </c>
      <c r="P93" s="212" t="s">
        <v>263</v>
      </c>
      <c r="V93" s="155"/>
      <c r="X93" s="155"/>
      <c r="Y93" s="155"/>
    </row>
    <row r="94" spans="2:25" x14ac:dyDescent="0.25">
      <c r="B94" s="210" t="s">
        <v>262</v>
      </c>
      <c r="C94" s="217" t="s">
        <v>227</v>
      </c>
      <c r="D94" s="201"/>
      <c r="E94" s="202"/>
      <c r="F94" s="202"/>
      <c r="G94" s="201">
        <v>12.733000000000001</v>
      </c>
      <c r="H94" s="202">
        <v>3885.1040603157148</v>
      </c>
      <c r="I94" s="202">
        <v>49469.03</v>
      </c>
      <c r="J94" s="201">
        <v>12.733000000000001</v>
      </c>
      <c r="K94" s="203">
        <v>3885.1040603157148</v>
      </c>
      <c r="L94" s="202">
        <v>49469.03</v>
      </c>
      <c r="M94" s="201">
        <v>0</v>
      </c>
      <c r="N94" s="202" t="e">
        <v>#DIV/0!</v>
      </c>
      <c r="O94" s="202">
        <v>0</v>
      </c>
      <c r="P94" s="212" t="s">
        <v>263</v>
      </c>
      <c r="W94" s="9">
        <f>W91</f>
        <v>79646.02</v>
      </c>
      <c r="X94" s="9">
        <f>W94*测算表!G25</f>
        <v>74584.654809535001</v>
      </c>
    </row>
    <row r="95" spans="2:25" x14ac:dyDescent="0.25">
      <c r="B95" s="200" t="s">
        <v>226</v>
      </c>
      <c r="C95" s="200" t="s">
        <v>227</v>
      </c>
      <c r="D95" s="201">
        <v>90.557000000000031</v>
      </c>
      <c r="E95" s="202">
        <v>3575.3024062192858</v>
      </c>
      <c r="F95" s="202">
        <v>323768.65999999997</v>
      </c>
      <c r="G95" s="201">
        <v>86.292000000000002</v>
      </c>
      <c r="H95" s="202">
        <v>3811.990103369953</v>
      </c>
      <c r="I95" s="202">
        <v>328944.25</v>
      </c>
      <c r="J95" s="201">
        <v>162.4</v>
      </c>
      <c r="K95" s="203">
        <v>3690.7922012564377</v>
      </c>
      <c r="L95" s="202">
        <v>599384.65348404553</v>
      </c>
      <c r="M95" s="201">
        <v>14.449000000000041</v>
      </c>
      <c r="N95" s="202">
        <v>3690.7922012564354</v>
      </c>
      <c r="O95" s="202">
        <v>53328.256515954388</v>
      </c>
      <c r="P95" s="212" t="s">
        <v>267</v>
      </c>
      <c r="W95" s="9"/>
      <c r="X95" s="9">
        <f>W94-X94</f>
        <v>5061.3651904650033</v>
      </c>
    </row>
    <row r="96" spans="2:25" x14ac:dyDescent="0.25">
      <c r="B96" s="200" t="s">
        <v>226</v>
      </c>
      <c r="C96" s="200" t="s">
        <v>227</v>
      </c>
      <c r="D96" s="201">
        <v>14.449000000000041</v>
      </c>
      <c r="E96" s="202">
        <v>3690.7924423835457</v>
      </c>
      <c r="F96" s="202">
        <v>53328.26</v>
      </c>
      <c r="G96" s="201">
        <v>58.106999999999999</v>
      </c>
      <c r="H96" s="202">
        <v>3460.2018689658735</v>
      </c>
      <c r="I96" s="202">
        <v>201061.95</v>
      </c>
      <c r="J96" s="201">
        <v>41.5</v>
      </c>
      <c r="K96" s="203">
        <v>3506.1223055295204</v>
      </c>
      <c r="L96" s="202">
        <v>145504.07567947509</v>
      </c>
      <c r="M96" s="201">
        <v>31.05600000000004</v>
      </c>
      <c r="N96" s="202">
        <v>3506.1223055295204</v>
      </c>
      <c r="O96" s="202">
        <v>108886.13432052493</v>
      </c>
      <c r="P96" s="212" t="s">
        <v>273</v>
      </c>
    </row>
    <row r="97" spans="2:25" x14ac:dyDescent="0.25">
      <c r="B97" s="210" t="s">
        <v>262</v>
      </c>
      <c r="C97" s="217" t="s">
        <v>227</v>
      </c>
      <c r="D97" s="201"/>
      <c r="E97" s="202"/>
      <c r="F97" s="202"/>
      <c r="G97" s="201">
        <v>23.948</v>
      </c>
      <c r="H97" s="202">
        <v>3734.6772173041591</v>
      </c>
      <c r="I97" s="202">
        <v>89438.05</v>
      </c>
      <c r="J97" s="201">
        <v>23.948</v>
      </c>
      <c r="K97" s="203">
        <v>3734.6772173041591</v>
      </c>
      <c r="L97" s="202">
        <v>89438.05</v>
      </c>
      <c r="M97" s="201">
        <v>0</v>
      </c>
      <c r="N97" s="202" t="e">
        <v>#DIV/0!</v>
      </c>
      <c r="O97" s="202">
        <v>0</v>
      </c>
      <c r="P97" s="212" t="s">
        <v>273</v>
      </c>
    </row>
    <row r="98" spans="2:25" x14ac:dyDescent="0.25">
      <c r="B98" s="200"/>
      <c r="C98" s="200"/>
      <c r="D98" s="206"/>
      <c r="E98" s="200"/>
      <c r="F98" s="200"/>
      <c r="G98" s="201"/>
      <c r="H98" s="202"/>
      <c r="I98" s="202"/>
      <c r="J98" s="201"/>
      <c r="K98" s="203"/>
      <c r="L98" s="202"/>
      <c r="M98" s="201"/>
      <c r="N98" s="202"/>
      <c r="O98" s="202"/>
      <c r="P98" s="212"/>
    </row>
    <row r="99" spans="2:25" x14ac:dyDescent="0.25">
      <c r="B99" s="200"/>
      <c r="C99" s="200"/>
      <c r="D99" s="201"/>
      <c r="E99" s="202"/>
      <c r="F99" s="202"/>
      <c r="G99" s="201"/>
      <c r="H99" s="202"/>
      <c r="I99" s="202"/>
      <c r="J99" s="201"/>
      <c r="K99" s="203"/>
      <c r="L99" s="202"/>
      <c r="M99" s="201"/>
      <c r="N99" s="202"/>
      <c r="O99" s="202"/>
      <c r="P99" s="212"/>
    </row>
    <row r="100" spans="2:25" x14ac:dyDescent="0.25">
      <c r="B100" s="217"/>
      <c r="C100" s="217"/>
      <c r="D100" s="201"/>
      <c r="E100" s="202"/>
      <c r="F100" s="202"/>
      <c r="G100" s="201"/>
      <c r="H100" s="202"/>
      <c r="I100" s="202"/>
      <c r="J100" s="201"/>
      <c r="K100" s="203"/>
      <c r="L100" s="202"/>
      <c r="M100" s="201"/>
      <c r="N100" s="202"/>
      <c r="O100" s="202"/>
      <c r="P100" s="212"/>
    </row>
    <row r="102" spans="2:25" x14ac:dyDescent="0.25">
      <c r="H102" s="10"/>
      <c r="I102" s="10"/>
      <c r="J102" s="180">
        <f>SUM(J93:J100)</f>
        <v>367.78099999999995</v>
      </c>
      <c r="K102" s="99">
        <f>L102/J102</f>
        <v>3639.5960572450326</v>
      </c>
      <c r="L102" s="10">
        <f>SUM(L93:L100)</f>
        <v>1338574.2775296352</v>
      </c>
      <c r="M102" s="10"/>
      <c r="N102" s="10"/>
      <c r="O102" s="10"/>
      <c r="P102" s="9"/>
    </row>
    <row r="103" spans="2:25" x14ac:dyDescent="0.25">
      <c r="G103">
        <f>K102*1.13</f>
        <v>4112.7435446868867</v>
      </c>
      <c r="H103" s="10"/>
      <c r="I103" s="10"/>
      <c r="J103" s="180">
        <f>J102*0.12</f>
        <v>44.13371999999999</v>
      </c>
      <c r="K103" s="9">
        <v>2519.91</v>
      </c>
      <c r="L103" s="9">
        <f>J103*K103</f>
        <v>111213.00236519997</v>
      </c>
      <c r="M103" s="10"/>
      <c r="P103" s="9"/>
    </row>
    <row r="104" spans="2:25" x14ac:dyDescent="0.25">
      <c r="H104" s="10"/>
      <c r="I104" s="172"/>
      <c r="J104" s="10"/>
      <c r="K104" s="9"/>
      <c r="L104" s="9"/>
      <c r="M104" s="10"/>
      <c r="N104" s="9"/>
      <c r="O104" s="9"/>
      <c r="P104" s="9"/>
    </row>
    <row r="105" spans="2:25" x14ac:dyDescent="0.25">
      <c r="G105">
        <f>K106/G103</f>
        <v>0.5989654626030626</v>
      </c>
      <c r="I105" s="199" t="s">
        <v>228</v>
      </c>
      <c r="J105" s="101">
        <f>J83-U74+J103-U91</f>
        <v>14.519279999999988</v>
      </c>
      <c r="K105" s="9">
        <f>L105/J105</f>
        <v>2662.1398151147978</v>
      </c>
      <c r="L105" s="9">
        <f>L84-Y74+L103-Y91</f>
        <v>38652.353374799946</v>
      </c>
    </row>
    <row r="106" spans="2:25" x14ac:dyDescent="0.25">
      <c r="K106">
        <f>V91*1.13</f>
        <v>2463.3913398111404</v>
      </c>
      <c r="L106" s="155">
        <f>J105*K106</f>
        <v>35766.668612293062</v>
      </c>
    </row>
    <row r="109" spans="2:25" s="213" customFormat="1" x14ac:dyDescent="0.25">
      <c r="R109" s="213" t="s">
        <v>231</v>
      </c>
    </row>
    <row r="111" spans="2:25" x14ac:dyDescent="0.25">
      <c r="U111" t="s">
        <v>27</v>
      </c>
      <c r="V111" t="s">
        <v>28</v>
      </c>
      <c r="W111" t="s">
        <v>29</v>
      </c>
      <c r="X111" t="s">
        <v>159</v>
      </c>
      <c r="Y111" t="s">
        <v>233</v>
      </c>
    </row>
    <row r="112" spans="2:25" x14ac:dyDescent="0.25">
      <c r="B112" s="244" t="s">
        <v>20</v>
      </c>
      <c r="C112" s="244" t="s">
        <v>21</v>
      </c>
      <c r="D112" s="244" t="s">
        <v>22</v>
      </c>
      <c r="E112" s="244"/>
      <c r="F112" s="244"/>
      <c r="G112" s="244" t="s">
        <v>23</v>
      </c>
      <c r="H112" s="244"/>
      <c r="I112" s="244"/>
      <c r="J112" s="244" t="s">
        <v>24</v>
      </c>
      <c r="K112" s="244"/>
      <c r="L112" s="244"/>
      <c r="M112" s="244" t="s">
        <v>25</v>
      </c>
      <c r="N112" s="244"/>
      <c r="O112" s="244"/>
      <c r="P112" s="244" t="s">
        <v>26</v>
      </c>
      <c r="R112" s="224" t="s">
        <v>284</v>
      </c>
      <c r="S112" s="57" t="s">
        <v>279</v>
      </c>
      <c r="T112" s="57" t="s">
        <v>30</v>
      </c>
      <c r="U112" s="211">
        <v>41.767000000000003</v>
      </c>
      <c r="V112" s="155">
        <f>W112/U112</f>
        <v>2139.9796490051954</v>
      </c>
      <c r="W112" s="155">
        <v>89380.53</v>
      </c>
      <c r="X112" s="155">
        <v>11619.47</v>
      </c>
      <c r="Y112" s="155">
        <f>W112+X112</f>
        <v>101000</v>
      </c>
    </row>
    <row r="113" spans="2:25" x14ac:dyDescent="0.25">
      <c r="B113" s="244"/>
      <c r="C113" s="244"/>
      <c r="D113" s="200" t="s">
        <v>27</v>
      </c>
      <c r="E113" s="200" t="s">
        <v>28</v>
      </c>
      <c r="F113" s="200" t="s">
        <v>29</v>
      </c>
      <c r="G113" s="200" t="s">
        <v>27</v>
      </c>
      <c r="H113" s="200" t="s">
        <v>28</v>
      </c>
      <c r="I113" s="200" t="s">
        <v>29</v>
      </c>
      <c r="J113" s="200" t="s">
        <v>27</v>
      </c>
      <c r="K113" s="200" t="s">
        <v>28</v>
      </c>
      <c r="L113" s="200" t="s">
        <v>29</v>
      </c>
      <c r="M113" s="200" t="s">
        <v>27</v>
      </c>
      <c r="N113" s="200" t="s">
        <v>28</v>
      </c>
      <c r="O113" s="200" t="s">
        <v>29</v>
      </c>
      <c r="P113" s="244"/>
      <c r="R113" t="s">
        <v>289</v>
      </c>
      <c r="S113" t="s">
        <v>232</v>
      </c>
      <c r="T113" t="s">
        <v>227</v>
      </c>
      <c r="U113" s="211">
        <v>33.42</v>
      </c>
      <c r="V113" s="155">
        <v>2139.9796529024502</v>
      </c>
      <c r="W113" s="155">
        <v>71518.12</v>
      </c>
      <c r="X113" s="155">
        <v>9297.36</v>
      </c>
      <c r="Y113" s="155">
        <v>80815.48</v>
      </c>
    </row>
    <row r="114" spans="2:25" x14ac:dyDescent="0.25">
      <c r="B114" s="200" t="s">
        <v>226</v>
      </c>
      <c r="C114" s="200" t="s">
        <v>227</v>
      </c>
      <c r="D114" s="201">
        <v>31.05600000000004</v>
      </c>
      <c r="E114" s="202">
        <v>3506.1221664090631</v>
      </c>
      <c r="F114" s="202">
        <v>108886.13</v>
      </c>
      <c r="G114" s="201">
        <v>101.23400000000001</v>
      </c>
      <c r="H114" s="202">
        <v>3596.7576110792811</v>
      </c>
      <c r="I114" s="202">
        <v>364114.16</v>
      </c>
      <c r="J114" s="201">
        <v>68</v>
      </c>
      <c r="K114" s="203">
        <v>3575.4803084133328</v>
      </c>
      <c r="L114" s="202">
        <v>243132.66097210662</v>
      </c>
      <c r="M114" s="201">
        <v>64.290000000000049</v>
      </c>
      <c r="N114" s="202">
        <v>3575.4803084133332</v>
      </c>
      <c r="O114" s="202">
        <v>229867.62902789336</v>
      </c>
      <c r="P114" s="212" t="s">
        <v>282</v>
      </c>
      <c r="R114" t="s">
        <v>289</v>
      </c>
      <c r="S114" t="s">
        <v>232</v>
      </c>
      <c r="T114" t="s">
        <v>227</v>
      </c>
      <c r="U114" s="211">
        <v>30.434999999999999</v>
      </c>
      <c r="V114" s="155">
        <v>2139.9796287169402</v>
      </c>
      <c r="W114">
        <v>65130.28</v>
      </c>
      <c r="X114" s="155">
        <v>8466.94</v>
      </c>
      <c r="Y114" s="155">
        <v>73597.22</v>
      </c>
    </row>
    <row r="115" spans="2:25" x14ac:dyDescent="0.25">
      <c r="B115" s="210" t="s">
        <v>262</v>
      </c>
      <c r="C115" s="217" t="s">
        <v>227</v>
      </c>
      <c r="D115" s="201"/>
      <c r="E115" s="202"/>
      <c r="F115" s="202"/>
      <c r="G115" s="201">
        <v>12.34</v>
      </c>
      <c r="H115" s="202">
        <v>3743.4918962722854</v>
      </c>
      <c r="I115" s="202">
        <v>46194.69</v>
      </c>
      <c r="J115" s="201">
        <v>12.34</v>
      </c>
      <c r="K115" s="203">
        <v>3743.4918962722854</v>
      </c>
      <c r="L115" s="202">
        <v>46194.69</v>
      </c>
      <c r="M115" s="201">
        <v>0</v>
      </c>
      <c r="N115" s="202" t="e">
        <v>#DIV/0!</v>
      </c>
      <c r="O115" s="202">
        <v>0</v>
      </c>
      <c r="P115" s="212" t="s">
        <v>282</v>
      </c>
    </row>
    <row r="116" spans="2:25" x14ac:dyDescent="0.25">
      <c r="B116" s="200" t="s">
        <v>226</v>
      </c>
      <c r="C116" s="200" t="s">
        <v>227</v>
      </c>
      <c r="D116" s="201">
        <v>64.290000000000049</v>
      </c>
      <c r="E116" s="202">
        <v>3575.4803235339841</v>
      </c>
      <c r="F116" s="202">
        <v>229867.63</v>
      </c>
      <c r="G116" s="201">
        <v>122.304</v>
      </c>
      <c r="H116" s="202">
        <v>3482.3063840920981</v>
      </c>
      <c r="I116" s="202">
        <v>425900</v>
      </c>
      <c r="J116" s="201">
        <v>152</v>
      </c>
      <c r="K116" s="203">
        <v>3514.40898421171</v>
      </c>
      <c r="L116" s="202">
        <v>534190.16560017993</v>
      </c>
      <c r="M116" s="201">
        <v>34.594000000000051</v>
      </c>
      <c r="N116" s="202">
        <v>3514.40898421171</v>
      </c>
      <c r="O116" s="202">
        <v>121577.46439982008</v>
      </c>
      <c r="P116" s="212" t="s">
        <v>283</v>
      </c>
    </row>
    <row r="117" spans="2:25" x14ac:dyDescent="0.25">
      <c r="B117" s="200" t="s">
        <v>226</v>
      </c>
      <c r="C117" s="200" t="s">
        <v>227</v>
      </c>
      <c r="D117" s="201">
        <v>34.594000000000051</v>
      </c>
      <c r="E117" s="202">
        <v>3514.4088570272252</v>
      </c>
      <c r="F117" s="202">
        <v>121577.46</v>
      </c>
      <c r="G117" s="201">
        <v>48.189</v>
      </c>
      <c r="H117" s="202">
        <v>3783.5352466330492</v>
      </c>
      <c r="I117" s="202">
        <v>182324.78</v>
      </c>
      <c r="J117" s="201">
        <v>41</v>
      </c>
      <c r="K117" s="203">
        <v>3671.0706304434466</v>
      </c>
      <c r="L117" s="202">
        <v>150513.8958481813</v>
      </c>
      <c r="M117" s="201">
        <v>41.783000000000044</v>
      </c>
      <c r="N117" s="202">
        <v>3671.0706304434466</v>
      </c>
      <c r="O117" s="202">
        <v>153388.34415181869</v>
      </c>
      <c r="P117" s="212" t="s">
        <v>230</v>
      </c>
    </row>
    <row r="118" spans="2:25" x14ac:dyDescent="0.25">
      <c r="B118" s="210" t="s">
        <v>262</v>
      </c>
      <c r="C118" s="217" t="s">
        <v>227</v>
      </c>
      <c r="D118" s="201"/>
      <c r="E118" s="202"/>
      <c r="F118" s="202"/>
      <c r="G118" s="201">
        <v>24.565999999999999</v>
      </c>
      <c r="H118" s="202">
        <v>3656.3954245705445</v>
      </c>
      <c r="I118" s="202">
        <v>89823.01</v>
      </c>
      <c r="J118" s="201">
        <v>24.565999999999999</v>
      </c>
      <c r="K118" s="203">
        <v>3656.3954245705445</v>
      </c>
      <c r="L118" s="202">
        <v>89823.01</v>
      </c>
      <c r="M118" s="201">
        <v>0</v>
      </c>
      <c r="N118" s="202" t="e">
        <v>#DIV/0!</v>
      </c>
      <c r="O118" s="202">
        <v>0</v>
      </c>
      <c r="P118" s="212" t="s">
        <v>230</v>
      </c>
    </row>
    <row r="119" spans="2:25" x14ac:dyDescent="0.25">
      <c r="B119" s="200" t="s">
        <v>226</v>
      </c>
      <c r="C119" s="200" t="s">
        <v>227</v>
      </c>
      <c r="D119" s="201">
        <v>41.783000000000044</v>
      </c>
      <c r="E119" s="202">
        <v>3671.0705310772282</v>
      </c>
      <c r="F119" s="202">
        <v>153388.34</v>
      </c>
      <c r="G119" s="201">
        <v>14.102</v>
      </c>
      <c r="H119" s="202">
        <v>3407.161395546731</v>
      </c>
      <c r="I119" s="202">
        <v>48047.79</v>
      </c>
      <c r="J119" s="201">
        <v>49.2</v>
      </c>
      <c r="K119" s="203">
        <v>3604.4757985148044</v>
      </c>
      <c r="L119" s="202">
        <v>177340.20928692838</v>
      </c>
      <c r="M119" s="201">
        <v>6.6850000000000449</v>
      </c>
      <c r="N119" s="202">
        <v>3604.4757985148035</v>
      </c>
      <c r="O119" s="202">
        <v>24095.920713071624</v>
      </c>
      <c r="P119" s="212" t="s">
        <v>237</v>
      </c>
      <c r="W119" s="9">
        <f>SUM(W112:W118)-W112</f>
        <v>136648.4</v>
      </c>
      <c r="X119" s="9">
        <f>W119*测算表!G25</f>
        <v>127964.6333147</v>
      </c>
    </row>
    <row r="120" spans="2:25" x14ac:dyDescent="0.25">
      <c r="B120" s="210" t="s">
        <v>262</v>
      </c>
      <c r="C120" s="217" t="s">
        <v>227</v>
      </c>
      <c r="D120" s="201"/>
      <c r="E120" s="202"/>
      <c r="F120" s="202"/>
      <c r="G120" s="201">
        <v>16.2</v>
      </c>
      <c r="H120" s="202">
        <v>3751.9395061728396</v>
      </c>
      <c r="I120" s="202">
        <v>60781.42</v>
      </c>
      <c r="J120" s="201">
        <v>16.2</v>
      </c>
      <c r="K120" s="203">
        <v>3751.9395061728396</v>
      </c>
      <c r="L120" s="202">
        <v>60781.42</v>
      </c>
      <c r="M120" s="201">
        <v>0</v>
      </c>
      <c r="N120" s="202" t="e">
        <v>#DIV/0!</v>
      </c>
      <c r="O120" s="202">
        <v>0</v>
      </c>
      <c r="P120" s="212" t="s">
        <v>237</v>
      </c>
      <c r="W120" s="9"/>
      <c r="X120" s="9">
        <f>W119-X119</f>
        <v>8683.7666852999973</v>
      </c>
    </row>
    <row r="121" spans="2:25" x14ac:dyDescent="0.25">
      <c r="B121" s="210" t="s">
        <v>286</v>
      </c>
      <c r="C121" s="210" t="s">
        <v>227</v>
      </c>
      <c r="D121" s="201"/>
      <c r="E121" s="202"/>
      <c r="F121" s="202"/>
      <c r="G121" s="201">
        <v>68.936000000000007</v>
      </c>
      <c r="H121" s="202">
        <v>3210.6218811651383</v>
      </c>
      <c r="I121" s="202">
        <v>221327.43</v>
      </c>
      <c r="J121" s="201">
        <v>18.5</v>
      </c>
      <c r="K121" s="203">
        <v>3210.6218811651383</v>
      </c>
      <c r="L121" s="202">
        <v>59396.504801555056</v>
      </c>
      <c r="M121" s="201">
        <v>50.436000000000007</v>
      </c>
      <c r="N121" s="202">
        <v>3210.6218811651379</v>
      </c>
      <c r="O121" s="202">
        <v>161930.92519844492</v>
      </c>
      <c r="P121" s="212" t="s">
        <v>240</v>
      </c>
    </row>
    <row r="122" spans="2:25" x14ac:dyDescent="0.25">
      <c r="B122" s="200" t="s">
        <v>226</v>
      </c>
      <c r="C122" s="200" t="s">
        <v>227</v>
      </c>
      <c r="D122" s="201">
        <v>166.42900000000003</v>
      </c>
      <c r="E122" s="202">
        <v>3822.7169543769405</v>
      </c>
      <c r="F122" s="202">
        <v>636210.96</v>
      </c>
      <c r="G122" s="201">
        <v>35.004999999999995</v>
      </c>
      <c r="H122" s="202">
        <v>3394.2813883730901</v>
      </c>
      <c r="I122" s="202">
        <v>118816.82</v>
      </c>
      <c r="J122" s="201">
        <v>112</v>
      </c>
      <c r="K122" s="203">
        <v>3748.2638482083457</v>
      </c>
      <c r="L122" s="202">
        <v>419805.55099933472</v>
      </c>
      <c r="M122" s="201">
        <v>89.434000000000026</v>
      </c>
      <c r="N122" s="202">
        <v>3748.2638482083457</v>
      </c>
      <c r="O122" s="202">
        <v>335222.22900066531</v>
      </c>
      <c r="P122" s="212" t="s">
        <v>252</v>
      </c>
    </row>
    <row r="123" spans="2:25" x14ac:dyDescent="0.25">
      <c r="B123" s="210" t="s">
        <v>262</v>
      </c>
      <c r="C123" s="217" t="s">
        <v>227</v>
      </c>
      <c r="D123" s="201"/>
      <c r="E123" s="202"/>
      <c r="F123" s="202"/>
      <c r="G123" s="201">
        <v>12.48</v>
      </c>
      <c r="H123" s="202">
        <v>3460.333333333333</v>
      </c>
      <c r="I123" s="202">
        <v>43184.959999999999</v>
      </c>
      <c r="J123" s="201">
        <v>12.48</v>
      </c>
      <c r="K123" s="203">
        <v>3460.333333333333</v>
      </c>
      <c r="L123" s="202">
        <v>43184.959999999999</v>
      </c>
      <c r="M123" s="201">
        <v>0</v>
      </c>
      <c r="N123" s="202" t="e">
        <v>#DIV/0!</v>
      </c>
      <c r="O123" s="202">
        <v>0</v>
      </c>
      <c r="P123" s="212" t="s">
        <v>252</v>
      </c>
      <c r="R123" s="224"/>
    </row>
    <row r="124" spans="2:25" x14ac:dyDescent="0.25">
      <c r="B124" s="210" t="s">
        <v>286</v>
      </c>
      <c r="C124" s="210" t="s">
        <v>227</v>
      </c>
      <c r="D124" s="201">
        <v>50.436000000000007</v>
      </c>
      <c r="E124" s="202">
        <v>3210.621976366087</v>
      </c>
      <c r="F124" s="202">
        <v>161930.93</v>
      </c>
      <c r="G124" s="201"/>
      <c r="H124" s="202"/>
      <c r="I124" s="202"/>
      <c r="J124" s="201">
        <v>50.436000000000007</v>
      </c>
      <c r="K124" s="203">
        <v>3210.621976366087</v>
      </c>
      <c r="L124" s="202">
        <v>161930.93</v>
      </c>
      <c r="M124" s="201">
        <v>0</v>
      </c>
      <c r="N124" s="202" t="e">
        <v>#DIV/0!</v>
      </c>
      <c r="O124" s="202">
        <v>0</v>
      </c>
      <c r="P124" s="212" t="s">
        <v>252</v>
      </c>
      <c r="R124" s="224"/>
    </row>
    <row r="125" spans="2:25" x14ac:dyDescent="0.25">
      <c r="B125" s="210" t="s">
        <v>226</v>
      </c>
      <c r="C125" s="210" t="s">
        <v>227</v>
      </c>
      <c r="D125" s="201">
        <v>89.434000000000026</v>
      </c>
      <c r="E125" s="202">
        <v>3748.2638593823367</v>
      </c>
      <c r="F125" s="202">
        <v>335222.23</v>
      </c>
      <c r="G125" s="201">
        <v>98.504999999999995</v>
      </c>
      <c r="H125" s="202">
        <v>3404.6518450840058</v>
      </c>
      <c r="I125" s="202">
        <v>335375.23</v>
      </c>
      <c r="J125" s="201">
        <v>152.69999999999999</v>
      </c>
      <c r="K125" s="203">
        <v>3568.1655217916446</v>
      </c>
      <c r="L125" s="202">
        <v>544858.87517758412</v>
      </c>
      <c r="M125" s="201">
        <v>35.239000000000033</v>
      </c>
      <c r="N125" s="202">
        <v>3568.1655217916436</v>
      </c>
      <c r="O125" s="202">
        <v>125738.58482241584</v>
      </c>
      <c r="P125" s="212" t="s">
        <v>256</v>
      </c>
    </row>
    <row r="126" spans="2:25" x14ac:dyDescent="0.25">
      <c r="B126" s="200" t="s">
        <v>262</v>
      </c>
      <c r="C126" s="200" t="s">
        <v>227</v>
      </c>
      <c r="D126" s="201"/>
      <c r="E126" s="202"/>
      <c r="F126" s="202"/>
      <c r="G126" s="201">
        <v>14.06</v>
      </c>
      <c r="H126" s="202">
        <v>3540.3897581792316</v>
      </c>
      <c r="I126" s="202">
        <v>49777.88</v>
      </c>
      <c r="J126" s="201">
        <v>14.06</v>
      </c>
      <c r="K126" s="203">
        <v>3540.3897581792316</v>
      </c>
      <c r="L126" s="202">
        <v>49777.88</v>
      </c>
      <c r="M126" s="201">
        <v>0</v>
      </c>
      <c r="N126" s="202" t="e">
        <v>#DIV/0!</v>
      </c>
      <c r="O126" s="202">
        <v>0</v>
      </c>
      <c r="P126" s="212" t="s">
        <v>256</v>
      </c>
    </row>
    <row r="127" spans="2:25" x14ac:dyDescent="0.25">
      <c r="B127" s="200" t="s">
        <v>226</v>
      </c>
      <c r="C127" s="200" t="s">
        <v>227</v>
      </c>
      <c r="D127" s="201">
        <v>35.239000000000033</v>
      </c>
      <c r="E127" s="202">
        <v>3568.1653849428158</v>
      </c>
      <c r="F127" s="202">
        <v>125738.58</v>
      </c>
      <c r="G127" s="201"/>
      <c r="H127" s="202"/>
      <c r="I127" s="202"/>
      <c r="J127" s="201">
        <v>35.239000000000033</v>
      </c>
      <c r="K127" s="203">
        <v>3568.1653849428158</v>
      </c>
      <c r="L127" s="202">
        <v>125738.58</v>
      </c>
      <c r="M127" s="201">
        <v>0</v>
      </c>
      <c r="N127" s="202" t="e">
        <v>#DIV/0!</v>
      </c>
      <c r="O127" s="202">
        <v>0</v>
      </c>
      <c r="P127" s="212" t="s">
        <v>259</v>
      </c>
    </row>
    <row r="128" spans="2:25" x14ac:dyDescent="0.25">
      <c r="B128" s="200" t="s">
        <v>262</v>
      </c>
      <c r="C128" s="200" t="s">
        <v>227</v>
      </c>
      <c r="D128" s="201"/>
      <c r="E128" s="202"/>
      <c r="F128" s="202"/>
      <c r="G128" s="201">
        <v>24.177</v>
      </c>
      <c r="H128" s="202">
        <v>3637.0778012160322</v>
      </c>
      <c r="I128" s="202">
        <v>87933.63</v>
      </c>
      <c r="J128" s="201">
        <v>24.177</v>
      </c>
      <c r="K128" s="203">
        <v>3637.0778012160322</v>
      </c>
      <c r="L128" s="202">
        <v>87933.63</v>
      </c>
      <c r="M128" s="201">
        <v>0</v>
      </c>
      <c r="N128" s="202" t="e">
        <v>#DIV/0!</v>
      </c>
      <c r="O128" s="202">
        <v>0</v>
      </c>
      <c r="P128" s="212" t="s">
        <v>259</v>
      </c>
    </row>
    <row r="129" spans="2:16" x14ac:dyDescent="0.25">
      <c r="B129" s="200" t="s">
        <v>293</v>
      </c>
      <c r="C129" s="200" t="s">
        <v>227</v>
      </c>
      <c r="D129" s="201"/>
      <c r="E129" s="202"/>
      <c r="F129" s="202"/>
      <c r="G129" s="201">
        <v>100.024</v>
      </c>
      <c r="H129" s="202">
        <v>3184.9879029033032</v>
      </c>
      <c r="I129" s="202">
        <v>318575.23</v>
      </c>
      <c r="J129" s="201">
        <v>72.5</v>
      </c>
      <c r="K129" s="203">
        <v>3184.9879029033032</v>
      </c>
      <c r="L129" s="202">
        <v>230911.62296048948</v>
      </c>
      <c r="M129" s="201">
        <v>27.524000000000001</v>
      </c>
      <c r="N129" s="202">
        <v>3184.9879029033027</v>
      </c>
      <c r="O129" s="202">
        <v>87663.607039510505</v>
      </c>
      <c r="P129" s="212" t="s">
        <v>259</v>
      </c>
    </row>
    <row r="130" spans="2:16" x14ac:dyDescent="0.25">
      <c r="B130" s="200" t="s">
        <v>226</v>
      </c>
      <c r="C130" s="200" t="s">
        <v>227</v>
      </c>
      <c r="D130" s="201"/>
      <c r="E130" s="202"/>
      <c r="F130" s="202"/>
      <c r="G130" s="201">
        <v>25.477</v>
      </c>
      <c r="H130" s="202">
        <v>3256.7982886525106</v>
      </c>
      <c r="I130" s="202">
        <v>82973.450000000012</v>
      </c>
      <c r="J130" s="201">
        <v>25.477</v>
      </c>
      <c r="K130" s="203">
        <v>3256.7982886525106</v>
      </c>
      <c r="L130" s="202">
        <v>82973.450000000012</v>
      </c>
      <c r="M130" s="201">
        <v>0</v>
      </c>
      <c r="N130" s="202" t="e">
        <v>#DIV/0!</v>
      </c>
      <c r="O130" s="202">
        <v>0</v>
      </c>
      <c r="P130" s="212" t="s">
        <v>260</v>
      </c>
    </row>
    <row r="131" spans="2:16" x14ac:dyDescent="0.25">
      <c r="B131" s="210" t="s">
        <v>262</v>
      </c>
      <c r="C131" s="217" t="s">
        <v>227</v>
      </c>
      <c r="D131" s="201"/>
      <c r="E131" s="202"/>
      <c r="F131" s="202"/>
      <c r="G131" s="201">
        <v>8.5079999999999991</v>
      </c>
      <c r="H131" s="202">
        <v>3681.3869299482844</v>
      </c>
      <c r="I131" s="202">
        <v>31321.24</v>
      </c>
      <c r="J131" s="201">
        <v>8.5079999999999991</v>
      </c>
      <c r="K131" s="203">
        <v>3681.3869299482844</v>
      </c>
      <c r="L131" s="202">
        <v>31321.24</v>
      </c>
      <c r="M131" s="201">
        <v>0</v>
      </c>
      <c r="N131" s="202" t="e">
        <v>#DIV/0!</v>
      </c>
      <c r="O131" s="202">
        <v>0</v>
      </c>
      <c r="P131" s="212" t="s">
        <v>260</v>
      </c>
    </row>
    <row r="132" spans="2:16" x14ac:dyDescent="0.25">
      <c r="B132" s="210" t="s">
        <v>293</v>
      </c>
      <c r="C132" s="210" t="s">
        <v>227</v>
      </c>
      <c r="D132" s="201">
        <v>27.524000000000001</v>
      </c>
      <c r="E132" s="202">
        <v>3184.9880104635954</v>
      </c>
      <c r="F132" s="202">
        <v>87663.61</v>
      </c>
      <c r="G132" s="201">
        <v>80.754000000000005</v>
      </c>
      <c r="H132" s="202">
        <v>3287.5985090521826</v>
      </c>
      <c r="I132" s="202">
        <v>265486.73</v>
      </c>
      <c r="J132" s="201">
        <v>108.27800000000001</v>
      </c>
      <c r="K132" s="203">
        <v>3261.515173904209</v>
      </c>
      <c r="L132" s="202">
        <v>353150.33999999997</v>
      </c>
      <c r="M132" s="201">
        <v>0</v>
      </c>
      <c r="N132" s="202" t="e">
        <v>#DIV/0!</v>
      </c>
      <c r="O132" s="202">
        <v>0</v>
      </c>
      <c r="P132" s="212" t="s">
        <v>260</v>
      </c>
    </row>
    <row r="133" spans="2:16" x14ac:dyDescent="0.25">
      <c r="B133" s="210" t="s">
        <v>251</v>
      </c>
      <c r="C133" s="210" t="s">
        <v>227</v>
      </c>
      <c r="D133" s="201">
        <v>12.318</v>
      </c>
      <c r="E133" s="202">
        <v>3615.32959896087</v>
      </c>
      <c r="F133" s="202">
        <v>44533.63</v>
      </c>
      <c r="G133" s="201"/>
      <c r="H133" s="202"/>
      <c r="I133" s="202"/>
      <c r="J133" s="201">
        <v>12.318</v>
      </c>
      <c r="K133" s="203">
        <v>3615.32959896087</v>
      </c>
      <c r="L133" s="202">
        <v>44533.63</v>
      </c>
      <c r="M133" s="201">
        <v>0</v>
      </c>
      <c r="N133" s="202" t="e">
        <v>#DIV/0!</v>
      </c>
      <c r="O133" s="202">
        <v>0</v>
      </c>
      <c r="P133" s="212" t="s">
        <v>260</v>
      </c>
    </row>
    <row r="134" spans="2:16" x14ac:dyDescent="0.25">
      <c r="B134" s="210" t="s">
        <v>286</v>
      </c>
      <c r="C134" s="210" t="s">
        <v>227</v>
      </c>
      <c r="D134" s="201">
        <v>105.346</v>
      </c>
      <c r="E134" s="202">
        <v>3165.4813661648282</v>
      </c>
      <c r="F134" s="202">
        <v>333470.8</v>
      </c>
      <c r="G134" s="201">
        <v>41.670999999999999</v>
      </c>
      <c r="H134" s="202">
        <v>3187.6331261548794</v>
      </c>
      <c r="I134" s="202">
        <v>132831.85999999999</v>
      </c>
      <c r="J134" s="201">
        <v>69.5</v>
      </c>
      <c r="K134" s="203">
        <v>3171.7601365828441</v>
      </c>
      <c r="L134" s="202">
        <v>220437.32949250768</v>
      </c>
      <c r="M134" s="201">
        <v>77.516999999999996</v>
      </c>
      <c r="N134" s="202">
        <v>3171.7601365828441</v>
      </c>
      <c r="O134" s="202">
        <v>245865.3305074923</v>
      </c>
      <c r="P134" s="212" t="s">
        <v>260</v>
      </c>
    </row>
    <row r="135" spans="2:16" x14ac:dyDescent="0.25">
      <c r="B135" s="200" t="s">
        <v>226</v>
      </c>
      <c r="C135" s="200" t="s">
        <v>227</v>
      </c>
      <c r="D135" s="201"/>
      <c r="E135" s="202"/>
      <c r="F135" s="202"/>
      <c r="G135" s="201">
        <v>32.43</v>
      </c>
      <c r="H135" s="202">
        <v>3469.173913043478</v>
      </c>
      <c r="I135" s="202">
        <v>112505.31</v>
      </c>
      <c r="J135" s="201">
        <v>32.43</v>
      </c>
      <c r="K135" s="203">
        <v>3469.173913043478</v>
      </c>
      <c r="L135" s="202">
        <v>112505.31</v>
      </c>
      <c r="M135" s="201">
        <v>0</v>
      </c>
      <c r="N135" s="202" t="e">
        <v>#DIV/0!</v>
      </c>
      <c r="O135" s="202">
        <v>0</v>
      </c>
      <c r="P135" s="212" t="s">
        <v>306</v>
      </c>
    </row>
    <row r="136" spans="2:16" x14ac:dyDescent="0.25">
      <c r="B136" s="200" t="s">
        <v>293</v>
      </c>
      <c r="C136" s="200" t="s">
        <v>227</v>
      </c>
      <c r="D136" s="201"/>
      <c r="E136" s="202"/>
      <c r="F136" s="202"/>
      <c r="G136" s="201">
        <v>198.27199999999999</v>
      </c>
      <c r="H136" s="202">
        <v>3141.9963988863778</v>
      </c>
      <c r="I136" s="202">
        <v>622969.90999999992</v>
      </c>
      <c r="J136" s="201">
        <v>119.5</v>
      </c>
      <c r="K136" s="203">
        <v>3141.9963988863778</v>
      </c>
      <c r="L136" s="202">
        <v>375468.56966692215</v>
      </c>
      <c r="M136" s="201">
        <v>78.771999999999991</v>
      </c>
      <c r="N136" s="202">
        <v>3141.9963988863783</v>
      </c>
      <c r="O136" s="202">
        <v>247501.34033307777</v>
      </c>
      <c r="P136" s="212" t="s">
        <v>306</v>
      </c>
    </row>
    <row r="137" spans="2:16" x14ac:dyDescent="0.25">
      <c r="B137" s="200" t="s">
        <v>286</v>
      </c>
      <c r="C137" s="200" t="s">
        <v>227</v>
      </c>
      <c r="D137" s="201">
        <v>77.516999999999996</v>
      </c>
      <c r="E137" s="202">
        <v>3171.760130035992</v>
      </c>
      <c r="F137" s="202">
        <v>245865.33</v>
      </c>
      <c r="G137" s="201"/>
      <c r="H137" s="202"/>
      <c r="I137" s="202"/>
      <c r="J137" s="201">
        <v>77.516999999999996</v>
      </c>
      <c r="K137" s="203">
        <v>3171.760130035992</v>
      </c>
      <c r="L137" s="202">
        <v>245865.33</v>
      </c>
      <c r="M137" s="201">
        <v>0</v>
      </c>
      <c r="N137" s="202" t="e">
        <v>#DIV/0!</v>
      </c>
      <c r="O137" s="202">
        <v>0</v>
      </c>
      <c r="P137" s="212" t="s">
        <v>306</v>
      </c>
    </row>
    <row r="138" spans="2:16" x14ac:dyDescent="0.25">
      <c r="B138" s="217"/>
      <c r="C138" s="217"/>
      <c r="D138" s="201"/>
      <c r="E138" s="202"/>
      <c r="F138" s="202"/>
      <c r="G138" s="201"/>
      <c r="H138" s="202"/>
      <c r="I138" s="202"/>
      <c r="J138" s="201"/>
      <c r="K138" s="203"/>
      <c r="L138" s="202"/>
      <c r="M138" s="201"/>
      <c r="N138" s="202"/>
      <c r="O138" s="202"/>
      <c r="P138" s="212"/>
    </row>
    <row r="140" spans="2:16" x14ac:dyDescent="0.25">
      <c r="H140" s="10"/>
      <c r="I140" s="10"/>
      <c r="J140" s="180">
        <f>SUM(J114:J138)</f>
        <v>1308.9260000000002</v>
      </c>
      <c r="K140" s="99">
        <f>L140/J140</f>
        <v>3431.6453220470744</v>
      </c>
      <c r="L140" s="10">
        <f>SUM(L114:L138)</f>
        <v>4491769.7848057896</v>
      </c>
      <c r="M140" s="10"/>
      <c r="N140" s="10"/>
      <c r="O140" s="10"/>
      <c r="P140" s="9"/>
    </row>
    <row r="141" spans="2:16" x14ac:dyDescent="0.25">
      <c r="G141" s="155">
        <f>K140*1.13</f>
        <v>3877.7592139131939</v>
      </c>
      <c r="H141" s="10"/>
      <c r="I141" s="10"/>
      <c r="J141" s="180">
        <f>J140*0.165</f>
        <v>215.97279000000003</v>
      </c>
      <c r="K141" s="9">
        <f>V114*1.13</f>
        <v>2418.1769804501423</v>
      </c>
      <c r="L141" s="9">
        <f>J141*K141</f>
        <v>522260.42918159277</v>
      </c>
      <c r="M141" s="10"/>
      <c r="P141" s="9"/>
    </row>
    <row r="142" spans="2:16" x14ac:dyDescent="0.25">
      <c r="H142" s="10"/>
      <c r="I142" s="172"/>
      <c r="J142" s="10"/>
      <c r="K142" s="9"/>
      <c r="L142" s="9"/>
      <c r="M142" s="10"/>
      <c r="N142" s="9"/>
      <c r="O142" s="9"/>
      <c r="P142" s="9"/>
    </row>
    <row r="143" spans="2:16" x14ac:dyDescent="0.25">
      <c r="G143" s="232">
        <f>K144/G141</f>
        <v>0.62360163358618348</v>
      </c>
      <c r="I143" s="199" t="s">
        <v>228</v>
      </c>
      <c r="J143" s="101">
        <f>J105+J141-SUM(U112:U118)</f>
        <v>124.87007</v>
      </c>
      <c r="K143" s="9">
        <f>L143/J143</f>
        <v>2446.5436958303362</v>
      </c>
      <c r="L143" s="9">
        <f>L105+L141-SUM(Y112:Y118)</f>
        <v>305500.08255639276</v>
      </c>
    </row>
    <row r="144" spans="2:16" x14ac:dyDescent="0.25">
      <c r="K144" s="155">
        <f>V114*1.13</f>
        <v>2418.1769804501423</v>
      </c>
      <c r="L144" s="155">
        <f>J143*K144</f>
        <v>301957.92882119789</v>
      </c>
    </row>
    <row r="146" spans="9:14" x14ac:dyDescent="0.25">
      <c r="I146" s="57"/>
      <c r="J146" s="211"/>
      <c r="K146" s="155"/>
      <c r="L146" s="155"/>
      <c r="M146" s="2"/>
      <c r="N146" s="155"/>
    </row>
    <row r="147" spans="9:14" x14ac:dyDescent="0.25">
      <c r="I147" s="57"/>
      <c r="J147" s="211"/>
      <c r="K147" s="155"/>
      <c r="L147" s="155"/>
      <c r="M147" s="2"/>
      <c r="N147" s="155"/>
    </row>
    <row r="148" spans="9:14" x14ac:dyDescent="0.25">
      <c r="J148" s="211"/>
      <c r="L148" s="155"/>
      <c r="M148" s="155"/>
      <c r="N148" s="155"/>
    </row>
    <row r="151" spans="9:14" x14ac:dyDescent="0.25">
      <c r="N151" s="2"/>
    </row>
  </sheetData>
  <mergeCells count="35">
    <mergeCell ref="M112:O112"/>
    <mergeCell ref="P112:P113"/>
    <mergeCell ref="B112:B113"/>
    <mergeCell ref="C112:C113"/>
    <mergeCell ref="D112:F112"/>
    <mergeCell ref="G112:I112"/>
    <mergeCell ref="J112:L112"/>
    <mergeCell ref="M91:O91"/>
    <mergeCell ref="P91:P92"/>
    <mergeCell ref="B91:B92"/>
    <mergeCell ref="C91:C92"/>
    <mergeCell ref="D91:F91"/>
    <mergeCell ref="G91:I91"/>
    <mergeCell ref="J91:L91"/>
    <mergeCell ref="M72:O72"/>
    <mergeCell ref="P72:P73"/>
    <mergeCell ref="B72:B73"/>
    <mergeCell ref="C72:C73"/>
    <mergeCell ref="D72:F72"/>
    <mergeCell ref="G72:I72"/>
    <mergeCell ref="J72:L72"/>
    <mergeCell ref="P2:P3"/>
    <mergeCell ref="B2:B3"/>
    <mergeCell ref="C2:C3"/>
    <mergeCell ref="D2:F2"/>
    <mergeCell ref="G2:I2"/>
    <mergeCell ref="J2:L2"/>
    <mergeCell ref="M2:O2"/>
    <mergeCell ref="P48:P49"/>
    <mergeCell ref="B48:B49"/>
    <mergeCell ref="C48:C49"/>
    <mergeCell ref="D48:F48"/>
    <mergeCell ref="G48:I48"/>
    <mergeCell ref="J48:L48"/>
    <mergeCell ref="M48:O48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21F1-F3C7-4473-9870-40D7385C375F}">
  <sheetPr>
    <tabColor rgb="FFC00000"/>
  </sheetPr>
  <dimension ref="A1:H16"/>
  <sheetViews>
    <sheetView workbookViewId="0">
      <selection activeCell="E40" sqref="E40"/>
    </sheetView>
  </sheetViews>
  <sheetFormatPr defaultRowHeight="15.6" x14ac:dyDescent="0.25"/>
  <cols>
    <col min="1" max="1" width="20.09765625" customWidth="1"/>
    <col min="2" max="2" width="14.59765625" hidden="1" customWidth="1"/>
    <col min="3" max="3" width="6" hidden="1" customWidth="1"/>
    <col min="4" max="4" width="16.3984375" hidden="1" customWidth="1"/>
    <col min="5" max="5" width="45.69921875" customWidth="1"/>
    <col min="6" max="6" width="10.5" bestFit="1" customWidth="1"/>
  </cols>
  <sheetData>
    <row r="1" spans="1:8" ht="73.5" customHeight="1" x14ac:dyDescent="0.25">
      <c r="A1" s="261" t="s">
        <v>107</v>
      </c>
      <c r="B1" s="262"/>
      <c r="C1" s="262"/>
      <c r="D1" s="262"/>
      <c r="E1" s="262"/>
      <c r="F1" s="26"/>
      <c r="G1" s="26"/>
    </row>
    <row r="2" spans="1:8" ht="69.75" customHeight="1" x14ac:dyDescent="0.25">
      <c r="A2" s="263" t="s">
        <v>42</v>
      </c>
      <c r="B2" s="263"/>
      <c r="C2" s="263"/>
      <c r="D2" s="263"/>
      <c r="E2" s="263"/>
      <c r="F2" s="26"/>
      <c r="G2" s="26"/>
    </row>
    <row r="3" spans="1:8" ht="36.75" customHeight="1" x14ac:dyDescent="0.25">
      <c r="A3" s="27" t="s">
        <v>43</v>
      </c>
      <c r="B3" s="27" t="s">
        <v>44</v>
      </c>
      <c r="C3" s="27" t="s">
        <v>45</v>
      </c>
      <c r="D3" s="27" t="s">
        <v>46</v>
      </c>
      <c r="E3" s="27" t="s">
        <v>47</v>
      </c>
    </row>
    <row r="4" spans="1:8" ht="40.5" customHeight="1" x14ac:dyDescent="0.25">
      <c r="A4" s="28" t="s">
        <v>48</v>
      </c>
      <c r="B4" s="29"/>
      <c r="C4" s="30" t="s">
        <v>49</v>
      </c>
      <c r="D4" s="31">
        <v>323</v>
      </c>
      <c r="E4" s="31"/>
      <c r="H4" s="9"/>
    </row>
    <row r="5" spans="1:8" ht="35.25" customHeight="1" x14ac:dyDescent="0.25">
      <c r="A5" s="28" t="s">
        <v>50</v>
      </c>
      <c r="B5" s="29"/>
      <c r="C5" s="30" t="s">
        <v>30</v>
      </c>
      <c r="D5" s="31">
        <v>645</v>
      </c>
      <c r="E5" s="31">
        <f>E12*0.45149*0.954</f>
        <v>0</v>
      </c>
    </row>
    <row r="6" spans="1:8" ht="33" customHeight="1" x14ac:dyDescent="0.25">
      <c r="A6" s="27" t="s">
        <v>51</v>
      </c>
      <c r="B6" s="29">
        <f>B4</f>
        <v>0</v>
      </c>
      <c r="C6" s="30"/>
      <c r="D6" s="31">
        <v>968</v>
      </c>
      <c r="E6" s="31">
        <f>E4+E5</f>
        <v>0</v>
      </c>
      <c r="F6" s="2"/>
    </row>
    <row r="9" spans="1:8" x14ac:dyDescent="0.25">
      <c r="B9" s="2"/>
      <c r="C9" s="2"/>
    </row>
    <row r="10" spans="1:8" x14ac:dyDescent="0.25">
      <c r="E10" s="2"/>
    </row>
    <row r="12" spans="1:8" x14ac:dyDescent="0.25">
      <c r="A12" t="s">
        <v>52</v>
      </c>
      <c r="E12">
        <f>E11/1.17</f>
        <v>0</v>
      </c>
    </row>
    <row r="14" spans="1:8" x14ac:dyDescent="0.25">
      <c r="A14" t="s">
        <v>53</v>
      </c>
      <c r="E14" s="9">
        <f>E12-E6</f>
        <v>0</v>
      </c>
    </row>
    <row r="16" spans="1:8" x14ac:dyDescent="0.25">
      <c r="A16" t="s">
        <v>54</v>
      </c>
      <c r="E16" t="e">
        <f>E14/E12</f>
        <v>#DIV/0!</v>
      </c>
    </row>
  </sheetData>
  <mergeCells count="2">
    <mergeCell ref="A1:E1"/>
    <mergeCell ref="A2:E2"/>
  </mergeCells>
  <phoneticPr fontId="2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8</vt:i4>
      </vt:variant>
    </vt:vector>
  </HeadingPairs>
  <TitlesOfParts>
    <vt:vector size="18" baseType="lpstr">
      <vt:lpstr>销售成本</vt:lpstr>
      <vt:lpstr>产品成本</vt:lpstr>
      <vt:lpstr>材料</vt:lpstr>
      <vt:lpstr>测算表</vt:lpstr>
      <vt:lpstr>工资</vt:lpstr>
      <vt:lpstr>生产成本月结表</vt:lpstr>
      <vt:lpstr>付工资</vt:lpstr>
      <vt:lpstr>电费</vt:lpstr>
      <vt:lpstr>废料</vt:lpstr>
      <vt:lpstr>加工成本</vt:lpstr>
      <vt:lpstr>材料!Print_Area</vt:lpstr>
      <vt:lpstr>测算表!Print_Area</vt:lpstr>
      <vt:lpstr>产品成本!Print_Area</vt:lpstr>
      <vt:lpstr>付工资!Print_Area</vt:lpstr>
      <vt:lpstr>工资!Print_Area</vt:lpstr>
      <vt:lpstr>加工成本!Print_Area</vt:lpstr>
      <vt:lpstr>生产成本月结表!Print_Area</vt:lpstr>
      <vt:lpstr>销售成本!Print_Area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JX</cp:lastModifiedBy>
  <cp:lastPrinted>2026-01-11T13:49:57Z</cp:lastPrinted>
  <dcterms:created xsi:type="dcterms:W3CDTF">2011-06-04T01:29:47Z</dcterms:created>
  <dcterms:modified xsi:type="dcterms:W3CDTF">2026-01-25T03:44:36Z</dcterms:modified>
</cp:coreProperties>
</file>