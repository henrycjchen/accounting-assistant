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896" tabRatio="600" firstSheet="0" activeTab="0" autoFilterDateGrouping="1"/>
  </bookViews>
  <sheets>
    <sheet name="销售成本" sheetId="1" state="visible" r:id="rId1"/>
    <sheet name="产品成本" sheetId="2" state="visible" r:id="rId2"/>
    <sheet name="材料" sheetId="3" state="visible" r:id="rId3"/>
    <sheet name="测算表" sheetId="4" state="visible" r:id="rId4"/>
    <sheet name="工资" sheetId="5" state="visible" r:id="rId5"/>
    <sheet name="生产成本月结表" sheetId="6" state="visible" r:id="rId6"/>
    <sheet name="付工资" sheetId="7" state="visible" r:id="rId7"/>
    <sheet name="电费" sheetId="8" state="visible" r:id="rId8"/>
    <sheet name="废料" sheetId="9" state="visible" r:id="rId9"/>
    <sheet name="加工成本" sheetId="10" state="visible" r:id="rId10"/>
  </sheets>
  <definedNames>
    <definedName name="_xlnm.Print_Area" localSheetId="0">'销售成本'!$A$1:$L$12</definedName>
    <definedName name="_xlnm.Print_Area" localSheetId="1">'产品成本'!$A$1:$I$19</definedName>
    <definedName name="_xlnm.Print_Area" localSheetId="2">'材料'!$A$1:$O$16</definedName>
    <definedName name="_xlnm.Print_Area" localSheetId="3">'测算表'!$A$1:$I$42</definedName>
    <definedName name="_xlnm.Print_Area" localSheetId="4">'工资'!$A$1:$B$7</definedName>
    <definedName name="_xlnm.Print_Area" localSheetId="5">'生产成本月结表'!$A$1:$F$9</definedName>
    <definedName name="_xlnm._FilterDatabase" localSheetId="6" hidden="1">'付工资'!$M$6:$N$6</definedName>
    <definedName name="_xlnm.Print_Area" localSheetId="6">'付工资'!$A$1:$F$29</definedName>
    <definedName name="_xlnm.Print_Area" localSheetId="9">'加工成本'!$A$1:$E$7</definedName>
  </definedNames>
  <calcPr calcId="181029" fullCalcOnLoad="1"/>
</workbook>
</file>

<file path=xl/styles.xml><?xml version="1.0" encoding="utf-8"?>
<styleSheet xmlns="http://schemas.openxmlformats.org/spreadsheetml/2006/main">
  <numFmts count="20">
    <numFmt numFmtId="164" formatCode="#,##0.00_ "/>
    <numFmt numFmtId="165" formatCode="0.00_ "/>
    <numFmt numFmtId="166" formatCode="0.00_);[Red]\(0.00\)"/>
    <numFmt numFmtId="167" formatCode="0.000_);[Red]\(0.000\)"/>
    <numFmt numFmtId="168" formatCode="0.000_ "/>
    <numFmt numFmtId="169" formatCode="_ &quot;¥&quot;* #,##0.00_ ;_ &quot;¥&quot;* \-#,##0.00_ ;_ &quot;¥&quot;* &quot;-&quot;??_ ;_ @_ "/>
    <numFmt numFmtId="170" formatCode="0_ "/>
    <numFmt numFmtId="171" formatCode="0.0000_ "/>
    <numFmt numFmtId="172" formatCode="#,##0.00_);[Red]\(#,##0.00\)"/>
    <numFmt numFmtId="173" formatCode="_ * #,##0.00_ ;_ * \-#,##0.00_ ;_ * &quot;-&quot;??_ ;_ @_ "/>
    <numFmt numFmtId="174" formatCode="0_);[Red]\(0\)"/>
    <numFmt numFmtId="175" formatCode="_ * #,##0.0000_ ;_ * \-#,##0.0000_ ;_ * &quot;-&quot;??_ ;_ @_ "/>
    <numFmt numFmtId="176" formatCode="0.00000_);[Red]\(0.00000\)"/>
    <numFmt numFmtId="177" formatCode="0.000"/>
    <numFmt numFmtId="178" formatCode="_ * #,##0.00000_ ;_ * \-#,##0.00000_ ;_ * &quot;-&quot;??_ ;_ @_ "/>
    <numFmt numFmtId="179" formatCode="0.00000000000_ "/>
    <numFmt numFmtId="180" formatCode="0.000%"/>
    <numFmt numFmtId="181" formatCode="0.00000000_ "/>
    <numFmt numFmtId="182" formatCode="0.000000"/>
    <numFmt numFmtId="183" formatCode="0.000000_ "/>
  </numFmts>
  <fonts count="54">
    <font>
      <name val="宋体"/>
      <charset val="134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6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sz val="12"/>
    </font>
    <font>
      <name val="Times New Roman"/>
      <family val="1"/>
      <b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24"/>
    </font>
    <font>
      <name val="宋体"/>
      <charset val="134"/>
      <family val="3"/>
      <sz val="11"/>
    </font>
    <font>
      <name val="宋体"/>
      <charset val="134"/>
      <family val="3"/>
      <sz val="10"/>
    </font>
    <font>
      <name val="Times New Roman"/>
      <family val="1"/>
      <sz val="22"/>
    </font>
    <font>
      <name val="黑体"/>
      <charset val="134"/>
      <family val="3"/>
      <sz val="22"/>
    </font>
    <font>
      <name val="宋体"/>
      <charset val="134"/>
      <family val="3"/>
      <b val="1"/>
      <sz val="11"/>
    </font>
    <font>
      <name val="宋体"/>
      <charset val="134"/>
      <family val="3"/>
      <sz val="14"/>
    </font>
    <font>
      <name val="Times New Roman"/>
      <family val="1"/>
      <sz val="14"/>
    </font>
    <font>
      <name val="隶书"/>
      <charset val="134"/>
      <family val="3"/>
      <b val="1"/>
      <sz val="26"/>
      <u val="single"/>
    </font>
    <font>
      <name val="楷体_GB2312"/>
      <charset val="134"/>
      <family val="3"/>
      <b val="1"/>
      <sz val="18"/>
    </font>
    <font>
      <name val="Times New Roman"/>
      <family val="1"/>
      <b val="1"/>
      <sz val="18"/>
      <u val="single"/>
    </font>
    <font>
      <name val="Times New Roman"/>
      <family val="1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20"/>
    </font>
    <font>
      <name val="宋体"/>
      <charset val="134"/>
      <family val="3"/>
      <b val="1"/>
      <sz val="22"/>
    </font>
    <font>
      <name val="Times New Roman"/>
      <family val="1"/>
      <b val="1"/>
      <sz val="22"/>
    </font>
    <font>
      <name val="Times New Roman"/>
      <family val="1"/>
      <b val="1"/>
      <sz val="16"/>
    </font>
    <font>
      <name val="宋体"/>
      <charset val="134"/>
      <family val="3"/>
      <sz val="11"/>
    </font>
    <font>
      <name val="Times New Roman"/>
      <family val="1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16"/>
    </font>
    <font>
      <name val="宋体"/>
      <charset val="134"/>
      <family val="3"/>
      <sz val="10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color indexed="26"/>
      <sz val="12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sz val="9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sz val="12"/>
    </font>
    <font>
      <name val="宋体"/>
      <charset val="134"/>
      <family val="3"/>
      <b val="1"/>
      <sz val="12"/>
    </font>
    <font>
      <name val="宋体"/>
      <charset val="134"/>
      <family val="3"/>
      <color rgb="FFFF0000"/>
      <sz val="12"/>
    </font>
    <font>
      <name val="宋体"/>
      <charset val="134"/>
      <family val="3"/>
      <sz val="12"/>
    </font>
    <font>
      <name val="宋体"/>
      <charset val="134"/>
      <family val="3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 applyAlignment="1">
      <alignment vertical="center"/>
    </xf>
    <xf numFmtId="9" fontId="52" fillId="0" borderId="0" applyAlignment="1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 applyAlignment="1">
      <alignment vertical="center"/>
    </xf>
    <xf numFmtId="43" fontId="52" fillId="0" borderId="0" applyAlignment="1">
      <alignment vertical="center"/>
    </xf>
  </cellStyleXfs>
  <cellXfs count="406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0" fontId="1" fillId="0" borderId="0" applyAlignment="1" pivotButton="0" quotePrefix="0" xfId="6">
      <alignment vertical="center"/>
    </xf>
    <xf numFmtId="0" fontId="14" fillId="0" borderId="1" applyAlignment="1" pivotButton="0" quotePrefix="0" xfId="6">
      <alignment horizontal="center" vertical="center"/>
    </xf>
    <xf numFmtId="166" fontId="1" fillId="0" borderId="1" applyAlignment="1" pivotButton="0" quotePrefix="0" xfId="6">
      <alignment horizontal="center" vertical="center"/>
    </xf>
    <xf numFmtId="166" fontId="1" fillId="0" borderId="2" applyAlignment="1" pivotButton="0" quotePrefix="0" xfId="6">
      <alignment horizontal="center" vertical="center"/>
    </xf>
    <xf numFmtId="165" fontId="1" fillId="0" borderId="2" applyAlignment="1" pivotButton="0" quotePrefix="0" xfId="6">
      <alignment horizontal="center" vertical="center"/>
    </xf>
    <xf numFmtId="167" fontId="1" fillId="0" borderId="1" applyAlignment="1" pivotButton="0" quotePrefix="0" xfId="6">
      <alignment vertical="center"/>
    </xf>
    <xf numFmtId="0" fontId="1" fillId="0" borderId="1" applyAlignment="1" pivotButton="0" quotePrefix="0" xfId="6">
      <alignment vertical="center"/>
    </xf>
    <xf numFmtId="0" fontId="1" fillId="0" borderId="3" applyAlignment="1" pivotButton="0" quotePrefix="0" xfId="6">
      <alignment horizontal="left" vertical="center"/>
    </xf>
    <xf numFmtId="0" fontId="1" fillId="0" borderId="0" applyAlignment="1" pivotButton="0" quotePrefix="0" xfId="6">
      <alignment horizontal="left" vertical="center"/>
    </xf>
    <xf numFmtId="167" fontId="1" fillId="0" borderId="0" applyAlignment="1" pivotButton="0" quotePrefix="0" xfId="6">
      <alignment vertical="center"/>
    </xf>
    <xf numFmtId="168" fontId="1" fillId="0" borderId="0" applyAlignment="1" pivotButton="0" quotePrefix="0" xfId="6">
      <alignment vertical="center"/>
    </xf>
    <xf numFmtId="165" fontId="1" fillId="0" borderId="0" applyAlignment="1" pivotButton="0" quotePrefix="0" xfId="6">
      <alignment vertical="center"/>
    </xf>
    <xf numFmtId="166" fontId="1" fillId="0" borderId="0" applyAlignment="1" pivotButton="0" quotePrefix="0" xfId="6">
      <alignment vertical="center"/>
    </xf>
    <xf numFmtId="0" fontId="3" fillId="0" borderId="0" applyAlignment="1" pivotButton="0" quotePrefix="0" xfId="0">
      <alignment vertical="center"/>
    </xf>
    <xf numFmtId="165" fontId="8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  <xf numFmtId="0" fontId="1" fillId="0" borderId="0" applyAlignment="1" pivotButton="0" quotePrefix="0" xfId="3">
      <alignment vertical="center"/>
    </xf>
    <xf numFmtId="0" fontId="10" fillId="0" borderId="0" applyAlignment="1" pivotButton="0" quotePrefix="0" xfId="3">
      <alignment vertical="center"/>
    </xf>
    <xf numFmtId="49" fontId="10" fillId="0" borderId="0" applyAlignment="1" pivotButton="0" quotePrefix="0" xfId="3">
      <alignment vertical="center"/>
    </xf>
    <xf numFmtId="164" fontId="10" fillId="0" borderId="0" applyAlignment="1" pivotButton="0" quotePrefix="0" xfId="3">
      <alignment vertical="center"/>
    </xf>
    <xf numFmtId="0" fontId="1" fillId="0" borderId="0" pivotButton="0" quotePrefix="0" xfId="3"/>
    <xf numFmtId="164" fontId="1" fillId="0" borderId="0" applyAlignment="1" pivotButton="0" quotePrefix="0" xfId="3">
      <alignment vertical="center"/>
    </xf>
    <xf numFmtId="0" fontId="1" fillId="0" borderId="0" applyAlignment="1" pivotButton="0" quotePrefix="0" xfId="4">
      <alignment horizontal="center" vertical="center"/>
    </xf>
    <xf numFmtId="164" fontId="1" fillId="0" borderId="0" applyAlignment="1" pivotButton="0" quotePrefix="0" xfId="4">
      <alignment horizontal="center" vertical="center"/>
    </xf>
    <xf numFmtId="0" fontId="1" fillId="0" borderId="0" pivotButton="0" quotePrefix="0" xfId="5"/>
    <xf numFmtId="165" fontId="1" fillId="0" borderId="0" pivotButton="0" quotePrefix="0" xfId="5"/>
    <xf numFmtId="168" fontId="1" fillId="0" borderId="0" pivotButton="0" quotePrefix="0" xfId="5"/>
    <xf numFmtId="0" fontId="15" fillId="0" borderId="0" applyAlignment="1" pivotButton="0" quotePrefix="0" xfId="5">
      <alignment vertical="center"/>
    </xf>
    <xf numFmtId="169" fontId="1" fillId="0" borderId="0" applyAlignment="1" pivotButton="0" quotePrefix="0" xfId="5">
      <alignment vertical="center"/>
    </xf>
    <xf numFmtId="169" fontId="15" fillId="0" borderId="0" applyAlignment="1" pivotButton="0" quotePrefix="0" xfId="5">
      <alignment vertical="center"/>
    </xf>
    <xf numFmtId="0" fontId="15" fillId="0" borderId="0" applyAlignment="1" pivotButton="0" quotePrefix="0" xfId="5">
      <alignment horizontal="center" vertical="center" wrapText="1"/>
    </xf>
    <xf numFmtId="0" fontId="11" fillId="0" borderId="0" applyAlignment="1" pivotButton="0" quotePrefix="0" xfId="5">
      <alignment horizontal="center" vertical="center"/>
    </xf>
    <xf numFmtId="0" fontId="11" fillId="0" borderId="0" applyAlignment="1" pivotButton="0" quotePrefix="0" xfId="5">
      <alignment horizontal="center" vertical="center" wrapText="1"/>
    </xf>
    <xf numFmtId="0" fontId="1" fillId="0" borderId="0" applyAlignment="1" pivotButton="0" quotePrefix="0" xfId="5">
      <alignment horizontal="center" vertical="center"/>
    </xf>
    <xf numFmtId="170" fontId="1" fillId="0" borderId="0" pivotButton="0" quotePrefix="0" xfId="5"/>
    <xf numFmtId="0" fontId="1" fillId="0" borderId="0" applyAlignment="1" pivotButton="0" quotePrefix="0" xfId="5">
      <alignment horizontal="center"/>
    </xf>
    <xf numFmtId="0" fontId="20" fillId="0" borderId="0" pivotButton="0" quotePrefix="0" xfId="5"/>
    <xf numFmtId="0" fontId="20" fillId="0" borderId="1" applyAlignment="1" pivotButton="0" quotePrefix="0" xfId="5">
      <alignment horizontal="left" vertical="center"/>
    </xf>
    <xf numFmtId="0" fontId="1" fillId="0" borderId="4" applyAlignment="1" pivotButton="0" quotePrefix="0" xfId="5">
      <alignment horizontal="left" vertical="center"/>
    </xf>
    <xf numFmtId="0" fontId="1" fillId="0" borderId="0" pivotButton="0" quotePrefix="0" xfId="4"/>
    <xf numFmtId="166" fontId="1" fillId="0" borderId="0" pivotButton="0" quotePrefix="0" xfId="4"/>
    <xf numFmtId="0" fontId="1" fillId="0" borderId="0" applyAlignment="1" pivotButton="0" quotePrefix="0" xfId="0">
      <alignment vertical="center"/>
    </xf>
    <xf numFmtId="164" fontId="1" fillId="0" borderId="0" pivotButton="0" quotePrefix="0" xfId="4"/>
    <xf numFmtId="0" fontId="6" fillId="0" borderId="1" applyAlignment="1" pivotButton="0" quotePrefix="0" xfId="3">
      <alignment horizontal="center" vertical="center"/>
    </xf>
    <xf numFmtId="0" fontId="6" fillId="0" borderId="1" applyAlignment="1" pivotButton="0" quotePrefix="0" xfId="3">
      <alignment horizontal="center" vertical="center" wrapText="1"/>
    </xf>
    <xf numFmtId="0" fontId="19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 wrapText="1"/>
    </xf>
    <xf numFmtId="165" fontId="1" fillId="0" borderId="0" applyAlignment="1" pivotButton="0" quotePrefix="0" xfId="4">
      <alignment horizontal="right" vertical="center"/>
    </xf>
    <xf numFmtId="166" fontId="1" fillId="0" borderId="0" applyAlignment="1" pivotButton="0" quotePrefix="0" xfId="4">
      <alignment horizontal="right" vertical="center"/>
    </xf>
    <xf numFmtId="171" fontId="1" fillId="0" borderId="0" applyAlignment="1" pivotButton="0" quotePrefix="0" xfId="4">
      <alignment horizontal="right" vertical="center"/>
    </xf>
    <xf numFmtId="0" fontId="2" fillId="0" borderId="0" applyAlignment="1" pivotButton="0" quotePrefix="0" xfId="0">
      <alignment vertical="center"/>
    </xf>
    <xf numFmtId="0" fontId="22" fillId="0" borderId="1" applyAlignment="1" pivotButton="0" quotePrefix="0" xfId="0">
      <alignment horizontal="center" vertical="center"/>
    </xf>
    <xf numFmtId="166" fontId="22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1" fillId="0" borderId="5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/>
    </xf>
    <xf numFmtId="0" fontId="1" fillId="0" borderId="1" applyAlignment="1" pivotButton="0" quotePrefix="0" xfId="5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72" fontId="10" fillId="0" borderId="1" applyAlignment="1" pivotButton="0" quotePrefix="0" xfId="5">
      <alignment horizontal="right" vertical="center" wrapText="1"/>
    </xf>
    <xf numFmtId="0" fontId="21" fillId="0" borderId="1" applyAlignment="1" pivotButton="0" quotePrefix="0" xfId="5">
      <alignment horizontal="left" vertical="center"/>
    </xf>
    <xf numFmtId="0" fontId="21" fillId="0" borderId="1" applyAlignment="1" pivotButton="0" quotePrefix="0" xfId="5">
      <alignment horizontal="center" vertical="center"/>
    </xf>
    <xf numFmtId="172" fontId="10" fillId="0" borderId="1" applyAlignment="1" pivotButton="0" quotePrefix="0" xfId="5">
      <alignment horizontal="center" vertical="center" wrapText="1"/>
    </xf>
    <xf numFmtId="166" fontId="11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shrinkToFit="1"/>
    </xf>
    <xf numFmtId="165" fontId="0" fillId="0" borderId="1" applyAlignment="1" pivotButton="0" quotePrefix="0" xfId="0">
      <alignment vertical="center" shrinkToFit="1"/>
    </xf>
    <xf numFmtId="164" fontId="1" fillId="0" borderId="0" applyAlignment="1" pivotButton="0" quotePrefix="0" xfId="4">
      <alignment horizontal="center" vertical="center" shrinkToFit="1"/>
    </xf>
    <xf numFmtId="17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5" fontId="0" fillId="0" borderId="1" applyAlignment="1" pivotButton="0" quotePrefix="0" xfId="0">
      <alignment horizontal="center" vertical="center"/>
    </xf>
    <xf numFmtId="172" fontId="1" fillId="0" borderId="1" applyAlignment="1" pivotButton="0" quotePrefix="0" xfId="5">
      <alignment horizontal="right" vertical="center" wrapText="1"/>
    </xf>
    <xf numFmtId="172" fontId="1" fillId="0" borderId="1" applyAlignment="1" pivotButton="0" quotePrefix="0" xfId="5">
      <alignment horizontal="center" vertical="center" wrapText="1"/>
    </xf>
    <xf numFmtId="171" fontId="1" fillId="0" borderId="0" applyAlignment="1" pivotButton="0" quotePrefix="0" xfId="6">
      <alignment vertical="center"/>
    </xf>
    <xf numFmtId="165" fontId="1" fillId="0" borderId="0" applyAlignment="1" pivotButton="0" quotePrefix="0" xfId="0">
      <alignment horizontal="right" vertical="center" shrinkToFit="1"/>
    </xf>
    <xf numFmtId="164" fontId="1" fillId="0" borderId="0" applyAlignment="1" pivotButton="0" quotePrefix="0" xfId="4">
      <alignment shrinkToFit="1"/>
    </xf>
    <xf numFmtId="165" fontId="0" fillId="0" borderId="0" applyAlignment="1" pivotButton="0" quotePrefix="0" xfId="0">
      <alignment horizontal="right" vertical="center" shrinkToFit="1"/>
    </xf>
    <xf numFmtId="171" fontId="1" fillId="0" borderId="0" pivotButton="0" quotePrefix="0" xfId="5"/>
    <xf numFmtId="0" fontId="1" fillId="0" borderId="0" applyAlignment="1" pivotButton="0" quotePrefix="0" xfId="6">
      <alignment horizontal="right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4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 shrinkToFit="1"/>
    </xf>
    <xf numFmtId="165" fontId="26" fillId="0" borderId="0" applyAlignment="1" pivotButton="0" quotePrefix="0" xfId="5">
      <alignment vertical="center" wrapText="1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6" fontId="10" fillId="0" borderId="0" applyAlignment="1" pivotButton="0" quotePrefix="0" xfId="3">
      <alignment vertical="center"/>
    </xf>
    <xf numFmtId="166" fontId="1" fillId="0" borderId="0" pivotButton="0" quotePrefix="0" xfId="3"/>
    <xf numFmtId="168" fontId="1" fillId="0" borderId="0" pivotButton="0" quotePrefix="0" xfId="3"/>
    <xf numFmtId="173" fontId="0" fillId="0" borderId="0" applyAlignment="1" pivotButton="0" quotePrefix="0" xfId="7">
      <alignment vertical="center"/>
    </xf>
    <xf numFmtId="173" fontId="1" fillId="0" borderId="0" applyAlignment="1" pivotButton="0" quotePrefix="0" xfId="7">
      <alignment horizontal="center" vertical="center"/>
    </xf>
    <xf numFmtId="173" fontId="1" fillId="0" borderId="0" applyAlignment="1" pivotButton="0" quotePrefix="0" xfId="7">
      <alignment horizontal="center" vertical="center" shrinkToFit="1"/>
    </xf>
    <xf numFmtId="173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73" fontId="1" fillId="2" borderId="0" applyAlignment="1" pivotButton="0" quotePrefix="0" xfId="7">
      <alignment horizontal="center" vertical="center"/>
    </xf>
    <xf numFmtId="165" fontId="1" fillId="0" borderId="1" applyAlignment="1" pivotButton="0" quotePrefix="0" xfId="0">
      <alignment vertical="center" shrinkToFit="1"/>
    </xf>
    <xf numFmtId="166" fontId="1" fillId="0" borderId="3" applyAlignment="1" pivotButton="0" quotePrefix="0" xfId="0">
      <alignment vertical="center" wrapText="1"/>
    </xf>
    <xf numFmtId="166" fontId="0" fillId="0" borderId="3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6" fontId="2" fillId="0" borderId="3" applyAlignment="1" pivotButton="0" quotePrefix="0" xfId="0">
      <alignment vertical="center" wrapText="1"/>
    </xf>
    <xf numFmtId="0" fontId="1" fillId="0" borderId="3" applyAlignment="1" pivotButton="0" quotePrefix="0" xfId="5">
      <alignment vertical="center"/>
    </xf>
    <xf numFmtId="174" fontId="27" fillId="0" borderId="1" applyAlignment="1" pivotButton="0" quotePrefix="0" xfId="3">
      <alignment horizontal="right" vertical="center"/>
    </xf>
    <xf numFmtId="173" fontId="27" fillId="0" borderId="1" applyAlignment="1" pivotButton="0" quotePrefix="0" xfId="3">
      <alignment horizontal="right" vertical="center"/>
    </xf>
    <xf numFmtId="167" fontId="27" fillId="0" borderId="1" applyAlignment="1" pivotButton="0" quotePrefix="0" xfId="3">
      <alignment horizontal="right" vertical="center"/>
    </xf>
    <xf numFmtId="166" fontId="27" fillId="0" borderId="1" applyAlignment="1" pivotButton="0" quotePrefix="0" xfId="3">
      <alignment horizontal="right" vertical="center"/>
    </xf>
    <xf numFmtId="0" fontId="1" fillId="0" borderId="3" applyAlignment="1" pivotButton="0" quotePrefix="0" xfId="3">
      <alignment vertical="center"/>
    </xf>
    <xf numFmtId="173" fontId="1" fillId="0" borderId="0" applyAlignment="1" pivotButton="0" quotePrefix="0" xfId="7">
      <alignment vertical="center"/>
    </xf>
    <xf numFmtId="173" fontId="1" fillId="0" borderId="0" applyAlignment="1" pivotButton="0" quotePrefix="0" xfId="7">
      <alignment vertical="center"/>
    </xf>
    <xf numFmtId="175" fontId="0" fillId="0" borderId="0" applyAlignment="1" pivotButton="0" quotePrefix="0" xfId="7">
      <alignment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49" fontId="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1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0" fillId="0" borderId="0" applyAlignment="1" pivotButton="0" quotePrefix="0" xfId="6">
      <alignment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right" vertical="center"/>
    </xf>
    <xf numFmtId="176" fontId="0" fillId="0" borderId="0" applyAlignment="1" pivotButton="0" quotePrefix="0" xfId="0">
      <alignment vertical="center"/>
    </xf>
    <xf numFmtId="176" fontId="33" fillId="0" borderId="0" applyAlignment="1" pivotButton="0" quotePrefix="0" xfId="0">
      <alignment vertical="center"/>
    </xf>
    <xf numFmtId="176" fontId="0" fillId="0" borderId="0" applyAlignment="1" pivotButton="0" quotePrefix="0" xfId="0">
      <alignment horizontal="right" vertical="center"/>
    </xf>
    <xf numFmtId="173" fontId="2" fillId="0" borderId="0" applyAlignment="1" pivotButton="0" quotePrefix="0" xfId="0">
      <alignment vertical="center"/>
    </xf>
    <xf numFmtId="0" fontId="6" fillId="0" borderId="1" applyAlignment="1" pivotButton="0" quotePrefix="0" xfId="6">
      <alignment horizontal="center" vertical="center"/>
    </xf>
    <xf numFmtId="0" fontId="6" fillId="0" borderId="6" applyAlignment="1" pivotButton="0" quotePrefix="0" xfId="6">
      <alignment horizontal="center" vertical="center"/>
    </xf>
    <xf numFmtId="0" fontId="6" fillId="0" borderId="7" applyAlignment="1" pivotButton="0" quotePrefix="0" xfId="6">
      <alignment horizontal="center" vertical="center"/>
    </xf>
    <xf numFmtId="173" fontId="10" fillId="0" borderId="0" applyAlignment="1" pivotButton="0" quotePrefix="0" xfId="7">
      <alignment vertical="center"/>
    </xf>
    <xf numFmtId="1" fontId="1" fillId="0" borderId="0" pivotButton="0" quotePrefix="0" xfId="5"/>
    <xf numFmtId="173" fontId="0" fillId="2" borderId="0" applyAlignment="1" pivotButton="0" quotePrefix="0" xfId="0">
      <alignment vertical="center"/>
    </xf>
    <xf numFmtId="177" fontId="1" fillId="0" borderId="0" applyAlignment="1" pivotButton="0" quotePrefix="0" xfId="6">
      <alignment vertical="center"/>
    </xf>
    <xf numFmtId="0" fontId="35" fillId="0" borderId="0" applyAlignment="1" pivotButton="0" quotePrefix="0" xfId="0">
      <alignment horizontal="left" vertical="center"/>
    </xf>
    <xf numFmtId="173" fontId="35" fillId="0" borderId="0" applyAlignment="1" pivotButton="0" quotePrefix="0" xfId="7">
      <alignment horizontal="center" vertical="center"/>
    </xf>
    <xf numFmtId="0" fontId="36" fillId="0" borderId="1" applyAlignment="1" pivotButton="0" quotePrefix="0" xfId="3">
      <alignment horizontal="center" vertical="center"/>
    </xf>
    <xf numFmtId="172" fontId="2" fillId="0" borderId="0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0" pivotButton="0" quotePrefix="0" xfId="5"/>
    <xf numFmtId="173" fontId="1" fillId="0" borderId="0" applyAlignment="1" pivotButton="0" quotePrefix="0" xfId="4">
      <alignment horizontal="center" vertical="center"/>
    </xf>
    <xf numFmtId="2" fontId="0" fillId="0" borderId="0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39" fillId="0" borderId="1" applyAlignment="1" pivotButton="0" quotePrefix="0" xfId="2">
      <alignment horizontal="center" vertical="center"/>
    </xf>
    <xf numFmtId="0" fontId="37" fillId="0" borderId="1" applyAlignment="1" pivotButton="0" quotePrefix="0" xfId="2">
      <alignment horizontal="center" vertical="center"/>
    </xf>
    <xf numFmtId="0" fontId="37" fillId="0" borderId="1" applyAlignment="1" pivotButton="0" quotePrefix="0" xfId="2">
      <alignment vertical="center"/>
    </xf>
    <xf numFmtId="171" fontId="37" fillId="0" borderId="1" applyAlignment="1" pivotButton="0" quotePrefix="0" xfId="2">
      <alignment vertical="center"/>
    </xf>
    <xf numFmtId="165" fontId="37" fillId="0" borderId="1" applyAlignment="1" pivotButton="0" quotePrefix="0" xfId="2">
      <alignment vertical="center"/>
    </xf>
    <xf numFmtId="0" fontId="37" fillId="0" borderId="0" pivotButton="0" quotePrefix="0" xfId="2"/>
    <xf numFmtId="165" fontId="37" fillId="0" borderId="0" pivotButton="0" quotePrefix="0" xfId="2"/>
    <xf numFmtId="171" fontId="37" fillId="0" borderId="0" applyAlignment="1" pivotButton="0" quotePrefix="0" xfId="2">
      <alignment vertical="center"/>
    </xf>
    <xf numFmtId="0" fontId="37" fillId="0" borderId="0" applyAlignment="1" pivotButton="0" quotePrefix="0" xfId="0">
      <alignment vertical="center"/>
    </xf>
    <xf numFmtId="0" fontId="40" fillId="0" borderId="1" applyAlignment="1" pivotButton="0" quotePrefix="0" xfId="3">
      <alignment horizontal="center" vertical="center"/>
    </xf>
    <xf numFmtId="177" fontId="10" fillId="0" borderId="0" applyAlignment="1" pivotButton="0" quotePrefix="0" xfId="3">
      <alignment vertical="center"/>
    </xf>
    <xf numFmtId="2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/>
    </xf>
    <xf numFmtId="0" fontId="42" fillId="0" borderId="0" applyAlignment="1" pivotButton="0" quotePrefix="0" xfId="3">
      <alignment vertical="center"/>
    </xf>
    <xf numFmtId="173" fontId="10" fillId="0" borderId="0" applyAlignment="1" pivotButton="0" quotePrefix="0" xfId="7">
      <alignment vertical="center"/>
    </xf>
    <xf numFmtId="0" fontId="6" fillId="0" borderId="0" applyAlignment="1" pivotButton="0" quotePrefix="0" xfId="3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10" fillId="0" borderId="0" applyAlignment="1" pivotButton="0" quotePrefix="0" xfId="7">
      <alignment vertical="center"/>
    </xf>
    <xf numFmtId="0" fontId="43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center" vertical="center"/>
    </xf>
    <xf numFmtId="0" fontId="44" fillId="0" borderId="0" pivotButton="0" quotePrefix="0" xfId="5"/>
    <xf numFmtId="164" fontId="1" fillId="0" borderId="0" pivotButton="0" quotePrefix="0" xfId="3"/>
    <xf numFmtId="173" fontId="0" fillId="0" borderId="0" applyAlignment="1" pivotButton="0" quotePrefix="0" xfId="0">
      <alignment horizontal="right" vertical="center"/>
    </xf>
    <xf numFmtId="178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165" fontId="47" fillId="0" borderId="1" applyAlignment="1" pivotButton="0" quotePrefix="0" xfId="0">
      <alignment vertical="center" shrinkToFit="1"/>
    </xf>
    <xf numFmtId="165" fontId="48" fillId="0" borderId="1" applyAlignment="1" pivotButton="0" quotePrefix="0" xfId="0">
      <alignment vertical="center" shrinkToFit="1"/>
    </xf>
    <xf numFmtId="166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left" vertical="center"/>
    </xf>
    <xf numFmtId="167" fontId="51" fillId="0" borderId="0" applyAlignment="1" pivotButton="0" quotePrefix="0" xfId="0">
      <alignment vertical="center"/>
    </xf>
    <xf numFmtId="166" fontId="51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left" vertical="center"/>
    </xf>
    <xf numFmtId="179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49" fillId="0" borderId="1" applyAlignment="1" pivotButton="0" quotePrefix="0" xfId="0">
      <alignment horizontal="center" vertical="center"/>
    </xf>
    <xf numFmtId="167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 shrinkToFit="1"/>
    </xf>
    <xf numFmtId="166" fontId="49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left" vertical="center" wrapText="1" shrinkToFit="1"/>
    </xf>
    <xf numFmtId="167" fontId="49" fillId="0" borderId="1" applyAlignment="1" pivotButton="0" quotePrefix="0" xfId="0">
      <alignment horizontal="center" vertical="center"/>
    </xf>
    <xf numFmtId="166" fontId="50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/>
    </xf>
    <xf numFmtId="177" fontId="0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vertical="center"/>
    </xf>
    <xf numFmtId="166" fontId="0" fillId="2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52" fillId="0" borderId="0" applyAlignment="1" pivotButton="0" quotePrefix="0" xfId="0">
      <alignment vertical="center"/>
    </xf>
    <xf numFmtId="166" fontId="21" fillId="0" borderId="1" applyAlignment="1" pivotButton="0" quotePrefix="0" xfId="0">
      <alignment horizontal="center" vertical="center"/>
    </xf>
    <xf numFmtId="167" fontId="53" fillId="0" borderId="1" applyAlignment="1" pivotButton="0" quotePrefix="0" xfId="6">
      <alignment vertical="center"/>
    </xf>
    <xf numFmtId="0" fontId="1" fillId="0" borderId="0" applyAlignment="1" pivotButton="0" quotePrefix="0" xfId="0">
      <alignment horizontal="right" vertical="center"/>
    </xf>
    <xf numFmtId="166" fontId="1" fillId="2" borderId="0" applyAlignment="1" pivotButton="0" quotePrefix="0" xfId="0">
      <alignment vertical="center"/>
    </xf>
    <xf numFmtId="166" fontId="49" fillId="2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6" fillId="0" borderId="1" applyAlignment="1" pivotButton="0" quotePrefix="0" xfId="3">
      <alignment horizontal="center" vertical="center" shrinkToFit="1"/>
    </xf>
    <xf numFmtId="14" fontId="1" fillId="0" borderId="0" applyAlignment="1" pivotButton="0" quotePrefix="0" xfId="0">
      <alignment vertical="center"/>
    </xf>
    <xf numFmtId="2" fontId="37" fillId="0" borderId="1" applyAlignment="1" pivotButton="0" quotePrefix="0" xfId="2">
      <alignment vertical="center"/>
    </xf>
    <xf numFmtId="4" fontId="10" fillId="0" borderId="0" applyAlignment="1" pivotButton="0" quotePrefix="0" xfId="7">
      <alignment vertical="center"/>
    </xf>
    <xf numFmtId="2" fontId="10" fillId="0" borderId="0" applyAlignment="1" pivotButton="0" quotePrefix="0" xfId="3">
      <alignment vertical="center"/>
    </xf>
    <xf numFmtId="4" fontId="0" fillId="0" borderId="0" applyAlignment="1" pivotButton="0" quotePrefix="0" xfId="0">
      <alignment vertical="center"/>
    </xf>
    <xf numFmtId="180" fontId="1" fillId="0" borderId="0" applyAlignment="1" pivotButton="0" quotePrefix="0" xfId="1">
      <alignment vertical="center"/>
    </xf>
    <xf numFmtId="49" fontId="10" fillId="0" borderId="0" applyAlignment="1" pivotButton="0" quotePrefix="0" xfId="3">
      <alignment horizontal="left" vertical="center" wrapText="1"/>
    </xf>
    <xf numFmtId="2" fontId="27" fillId="0" borderId="1" applyAlignment="1" pivotButton="0" quotePrefix="0" xfId="3">
      <alignment horizontal="right" vertical="center"/>
    </xf>
    <xf numFmtId="10" fontId="0" fillId="0" borderId="0" applyAlignment="1" pivotButton="0" quotePrefix="0" xfId="1">
      <alignment vertical="center"/>
    </xf>
    <xf numFmtId="181" fontId="0" fillId="0" borderId="0" applyAlignment="1" pivotButton="0" quotePrefix="0" xfId="0">
      <alignment vertical="center" shrinkToFit="1"/>
    </xf>
    <xf numFmtId="182" fontId="0" fillId="0" borderId="0" applyAlignment="1" pivotButton="0" quotePrefix="0" xfId="0">
      <alignment vertical="center"/>
    </xf>
    <xf numFmtId="183" fontId="1" fillId="0" borderId="0" applyAlignment="1" pivotButton="0" quotePrefix="0" xfId="0">
      <alignment horizontal="right" vertical="center"/>
    </xf>
    <xf numFmtId="0" fontId="1" fillId="0" borderId="8" applyAlignment="1" pivotButton="0" quotePrefix="0" xfId="3">
      <alignment horizontal="left" vertical="center"/>
    </xf>
    <xf numFmtId="0" fontId="17" fillId="0" borderId="0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/>
    </xf>
    <xf numFmtId="0" fontId="6" fillId="0" borderId="2" applyAlignment="1" pivotButton="0" quotePrefix="0" xfId="3">
      <alignment horizontal="center" vertical="center"/>
    </xf>
    <xf numFmtId="0" fontId="6" fillId="0" borderId="9" applyAlignment="1" pivotButton="0" quotePrefix="0" xfId="3">
      <alignment horizontal="center" vertical="center"/>
    </xf>
    <xf numFmtId="0" fontId="1" fillId="0" borderId="8" applyAlignment="1" pivotButton="0" quotePrefix="0" xfId="5">
      <alignment horizontal="left" vertical="center"/>
    </xf>
    <xf numFmtId="0" fontId="18" fillId="0" borderId="0" applyAlignment="1" pivotButton="0" quotePrefix="0" xfId="5">
      <alignment horizontal="center" vertical="center"/>
    </xf>
    <xf numFmtId="166" fontId="49" fillId="0" borderId="1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1" fillId="0" borderId="8" applyAlignment="1" pivotButton="0" quotePrefix="0" xfId="0">
      <alignment horizontal="left" vertical="center"/>
    </xf>
    <xf numFmtId="166" fontId="0" fillId="0" borderId="8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1" fillId="0" borderId="8" applyAlignment="1" pivotButton="0" quotePrefix="0" xfId="6">
      <alignment horizontal="left" vertical="center"/>
    </xf>
    <xf numFmtId="0" fontId="13" fillId="0" borderId="0" applyAlignment="1" pivotButton="0" quotePrefix="0" xfId="6">
      <alignment horizontal="center" vertical="center"/>
    </xf>
    <xf numFmtId="0" fontId="12" fillId="0" borderId="0" applyAlignment="1" pivotButton="0" quotePrefix="0" xfId="6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7" fillId="0" borderId="0" applyAlignment="1" pivotButton="0" quotePrefix="0" xfId="2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4" pivotButton="0" quotePrefix="0" xfId="0"/>
    <xf numFmtId="174" fontId="27" fillId="0" borderId="1" applyAlignment="1" pivotButton="0" quotePrefix="0" xfId="3">
      <alignment horizontal="right" vertical="center"/>
    </xf>
    <xf numFmtId="166" fontId="27" fillId="0" borderId="1" applyAlignment="1" pivotButton="0" quotePrefix="0" xfId="3">
      <alignment horizontal="right" vertical="center"/>
    </xf>
    <xf numFmtId="167" fontId="27" fillId="0" borderId="1" applyAlignment="1" pivotButton="0" quotePrefix="0" xfId="3">
      <alignment horizontal="right" vertical="center"/>
    </xf>
    <xf numFmtId="177" fontId="10" fillId="0" borderId="0" applyAlignment="1" pivotButton="0" quotePrefix="0" xfId="3">
      <alignment vertical="center"/>
    </xf>
    <xf numFmtId="173" fontId="10" fillId="0" borderId="0" applyAlignment="1" pivotButton="0" quotePrefix="0" xfId="7">
      <alignment vertical="center"/>
    </xf>
    <xf numFmtId="173" fontId="27" fillId="0" borderId="1" applyAlignment="1" pivotButton="0" quotePrefix="0" xfId="3">
      <alignment horizontal="right" vertical="center"/>
    </xf>
    <xf numFmtId="166" fontId="10" fillId="0" borderId="0" applyAlignment="1" pivotButton="0" quotePrefix="0" xfId="3">
      <alignment vertical="center"/>
    </xf>
    <xf numFmtId="164" fontId="10" fillId="0" borderId="0" applyAlignment="1" pivotButton="0" quotePrefix="0" xfId="3">
      <alignment vertical="center"/>
    </xf>
    <xf numFmtId="179" fontId="0" fillId="0" borderId="0" applyAlignment="1" pivotButton="0" quotePrefix="0" xfId="0">
      <alignment vertical="center"/>
    </xf>
    <xf numFmtId="166" fontId="1" fillId="0" borderId="0" pivotButton="0" quotePrefix="0" xfId="3"/>
    <xf numFmtId="164" fontId="1" fillId="0" borderId="0" applyAlignment="1" pivotButton="0" quotePrefix="0" xfId="3">
      <alignment vertical="center"/>
    </xf>
    <xf numFmtId="168" fontId="1" fillId="0" borderId="0" pivotButton="0" quotePrefix="0" xfId="3"/>
    <xf numFmtId="164" fontId="1" fillId="0" borderId="0" pivotButton="0" quotePrefix="0" xfId="3"/>
    <xf numFmtId="173" fontId="2" fillId="0" borderId="0" applyAlignment="1" pivotButton="0" quotePrefix="0" xfId="0">
      <alignment vertical="center"/>
    </xf>
    <xf numFmtId="172" fontId="1" fillId="0" borderId="1" applyAlignment="1" pivotButton="0" quotePrefix="0" xfId="5">
      <alignment horizontal="right" vertical="center" wrapText="1"/>
    </xf>
    <xf numFmtId="172" fontId="0" fillId="0" borderId="0" applyAlignment="1" pivotButton="0" quotePrefix="0" xfId="0">
      <alignment vertical="center"/>
    </xf>
    <xf numFmtId="172" fontId="2" fillId="0" borderId="0" applyAlignment="1" pivotButton="0" quotePrefix="0" xfId="0">
      <alignment vertical="center"/>
    </xf>
    <xf numFmtId="172" fontId="1" fillId="0" borderId="1" applyAlignment="1" pivotButton="0" quotePrefix="0" xfId="5">
      <alignment horizontal="center" vertical="center" wrapText="1"/>
    </xf>
    <xf numFmtId="172" fontId="10" fillId="0" borderId="1" applyAlignment="1" pivotButton="0" quotePrefix="0" xfId="5">
      <alignment horizontal="center" vertical="center" wrapText="1"/>
    </xf>
    <xf numFmtId="172" fontId="10" fillId="0" borderId="1" applyAlignment="1" pivotButton="0" quotePrefix="0" xfId="5">
      <alignment horizontal="right" vertical="center" wrapText="1"/>
    </xf>
    <xf numFmtId="165" fontId="0" fillId="0" borderId="1" applyAlignment="1" pivotButton="0" quotePrefix="0" xfId="0">
      <alignment horizontal="center" vertical="center"/>
    </xf>
    <xf numFmtId="165" fontId="1" fillId="0" borderId="0" pivotButton="0" quotePrefix="0" xfId="5"/>
    <xf numFmtId="168" fontId="1" fillId="0" borderId="0" pivotButton="0" quotePrefix="0" xfId="5"/>
    <xf numFmtId="175" fontId="0" fillId="0" borderId="0" applyAlignment="1" pivotButton="0" quotePrefix="0" xfId="7">
      <alignment vertical="center"/>
    </xf>
    <xf numFmtId="171" fontId="1" fillId="0" borderId="0" pivotButton="0" quotePrefix="0" xfId="5"/>
    <xf numFmtId="165" fontId="26" fillId="0" borderId="0" applyAlignment="1" pivotButton="0" quotePrefix="0" xfId="5">
      <alignment vertical="center" wrapText="1"/>
    </xf>
    <xf numFmtId="169" fontId="1" fillId="0" borderId="0" applyAlignment="1" pivotButton="0" quotePrefix="0" xfId="5">
      <alignment vertical="center"/>
    </xf>
    <xf numFmtId="169" fontId="15" fillId="0" borderId="0" applyAlignment="1" pivotButton="0" quotePrefix="0" xfId="5">
      <alignment vertical="center"/>
    </xf>
    <xf numFmtId="170" fontId="1" fillId="0" borderId="0" pivotButton="0" quotePrefix="0" xfId="5"/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" fillId="0" borderId="8" applyAlignment="1" pivotButton="0" quotePrefix="0" xfId="0">
      <alignment horizontal="left" vertical="center"/>
    </xf>
    <xf numFmtId="166" fontId="49" fillId="0" borderId="1" applyAlignment="1" pivotButton="0" quotePrefix="0" xfId="0">
      <alignment horizontal="center" vertical="center"/>
    </xf>
    <xf numFmtId="167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/>
    </xf>
    <xf numFmtId="166" fontId="49" fillId="0" borderId="1" applyAlignment="1" pivotButton="0" quotePrefix="0" xfId="0">
      <alignment horizontal="right" vertical="center" shrinkToFit="1"/>
    </xf>
    <xf numFmtId="166" fontId="49" fillId="0" borderId="1" applyAlignment="1" pivotButton="0" quotePrefix="0" xfId="0">
      <alignment horizontal="center" vertical="center" wrapText="1"/>
    </xf>
    <xf numFmtId="167" fontId="0" fillId="0" borderId="0" applyAlignment="1" pivotButton="0" quotePrefix="0" xfId="0">
      <alignment vertical="center"/>
    </xf>
    <xf numFmtId="166" fontId="1" fillId="0" borderId="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 wrapText="1"/>
    </xf>
    <xf numFmtId="166" fontId="49" fillId="2" borderId="1" applyAlignment="1" pivotButton="0" quotePrefix="0" xfId="0">
      <alignment horizontal="right" vertical="center"/>
    </xf>
    <xf numFmtId="166" fontId="50" fillId="0" borderId="1" applyAlignment="1" pivotButton="0" quotePrefix="0" xfId="0">
      <alignment horizontal="center" vertical="center" wrapText="1"/>
    </xf>
    <xf numFmtId="166" fontId="21" fillId="0" borderId="1" applyAlignment="1" pivotButton="0" quotePrefix="0" xfId="0">
      <alignment horizontal="center" vertical="center"/>
    </xf>
    <xf numFmtId="166" fontId="50" fillId="0" borderId="1" applyAlignment="1" pivotButton="0" quotePrefix="0" xfId="0">
      <alignment horizontal="left" vertical="center" wrapText="1" shrinkToFit="1"/>
    </xf>
    <xf numFmtId="166" fontId="1" fillId="2" borderId="0" applyAlignment="1" pivotButton="0" quotePrefix="0" xfId="0">
      <alignment vertical="center"/>
    </xf>
    <xf numFmtId="166" fontId="0" fillId="2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7" fontId="49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 wrapText="1"/>
    </xf>
    <xf numFmtId="166" fontId="50" fillId="0" borderId="1" applyAlignment="1" pivotButton="0" quotePrefix="0" xfId="0">
      <alignment horizontal="center" vertical="center"/>
    </xf>
    <xf numFmtId="166" fontId="1" fillId="0" borderId="3" applyAlignment="1" pivotButton="0" quotePrefix="0" xfId="0">
      <alignment vertical="center" wrapText="1"/>
    </xf>
    <xf numFmtId="166" fontId="0" fillId="0" borderId="3" applyAlignment="1" pivotButton="0" quotePrefix="0" xfId="0">
      <alignment vertical="center" wrapText="1"/>
    </xf>
    <xf numFmtId="166" fontId="2" fillId="0" borderId="3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 shrinkToFit="1"/>
    </xf>
    <xf numFmtId="167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 shrinkToFit="1"/>
    </xf>
    <xf numFmtId="164" fontId="1" fillId="0" borderId="0" applyAlignment="1" pivotButton="0" quotePrefix="0" xfId="4">
      <alignment horizontal="center" vertical="center" shrinkToFit="1"/>
    </xf>
    <xf numFmtId="165" fontId="0" fillId="0" borderId="1" applyAlignment="1" pivotButton="0" quotePrefix="0" xfId="0">
      <alignment vertical="center" shrinkToFit="1"/>
    </xf>
    <xf numFmtId="164" fontId="0" fillId="0" borderId="1" applyAlignment="1" pivotButton="0" quotePrefix="0" xfId="0">
      <alignment vertical="center"/>
    </xf>
    <xf numFmtId="164" fontId="1" fillId="0" borderId="0" applyAlignment="1" pivotButton="0" quotePrefix="0" xfId="4">
      <alignment horizontal="center" vertical="center"/>
    </xf>
    <xf numFmtId="17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4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1" fillId="0" borderId="0" applyAlignment="1" pivotButton="0" quotePrefix="0" xfId="4">
      <alignment horizontal="center" vertical="center"/>
    </xf>
    <xf numFmtId="173" fontId="0" fillId="0" borderId="0" applyAlignment="1" pivotButton="0" quotePrefix="0" xfId="7">
      <alignment vertical="center"/>
    </xf>
    <xf numFmtId="165" fontId="1" fillId="0" borderId="1" applyAlignment="1" pivotButton="0" quotePrefix="0" xfId="0">
      <alignment vertical="center" shrinkToFit="1"/>
    </xf>
    <xf numFmtId="170" fontId="0" fillId="0" borderId="0" applyAlignment="1" pivotButton="0" quotePrefix="0" xfId="0">
      <alignment vertical="center"/>
    </xf>
    <xf numFmtId="178" fontId="0" fillId="0" borderId="0" applyAlignment="1" pivotButton="0" quotePrefix="0" xfId="0">
      <alignment vertical="center"/>
    </xf>
    <xf numFmtId="166" fontId="1" fillId="0" borderId="0" pivotButton="0" quotePrefix="0" xfId="4"/>
    <xf numFmtId="164" fontId="0" fillId="2" borderId="1" applyAlignment="1" pivotButton="0" quotePrefix="0" xfId="0">
      <alignment vertical="center"/>
    </xf>
    <xf numFmtId="164" fontId="1" fillId="0" borderId="0" pivotButton="0" quotePrefix="0" xfId="4"/>
    <xf numFmtId="164" fontId="1" fillId="0" borderId="0" applyAlignment="1" pivotButton="0" quotePrefix="0" xfId="4">
      <alignment shrinkToFit="1"/>
    </xf>
    <xf numFmtId="165" fontId="0" fillId="0" borderId="0" applyAlignment="1" pivotButton="0" quotePrefix="0" xfId="0">
      <alignment vertical="center"/>
    </xf>
    <xf numFmtId="165" fontId="1" fillId="0" borderId="0" applyAlignment="1" pivotButton="0" quotePrefix="0" xfId="4">
      <alignment horizontal="right" vertical="center"/>
    </xf>
    <xf numFmtId="165" fontId="0" fillId="0" borderId="0" applyAlignment="1" pivotButton="0" quotePrefix="0" xfId="0">
      <alignment horizontal="right" vertical="center" shrinkToFit="1"/>
    </xf>
    <xf numFmtId="173" fontId="1" fillId="0" borderId="0" applyAlignment="1" pivotButton="0" quotePrefix="0" xfId="7">
      <alignment horizontal="center" vertical="center"/>
    </xf>
    <xf numFmtId="166" fontId="1" fillId="0" borderId="0" applyAlignment="1" pivotButton="0" quotePrefix="0" xfId="4">
      <alignment horizontal="right" vertical="center"/>
    </xf>
    <xf numFmtId="173" fontId="0" fillId="0" borderId="0" applyAlignment="1" pivotButton="0" quotePrefix="0" xfId="0">
      <alignment horizontal="right" vertical="center"/>
    </xf>
    <xf numFmtId="173" fontId="1" fillId="0" borderId="0" applyAlignment="1" pivotButton="0" quotePrefix="0" xfId="7">
      <alignment horizontal="center" vertical="center" shrinkToFit="1"/>
    </xf>
    <xf numFmtId="165" fontId="1" fillId="0" borderId="0" applyAlignment="1" pivotButton="0" quotePrefix="0" xfId="0">
      <alignment horizontal="right" vertical="center" shrinkToFit="1"/>
    </xf>
    <xf numFmtId="171" fontId="1" fillId="0" borderId="0" applyAlignment="1" pivotButton="0" quotePrefix="0" xfId="4">
      <alignment horizontal="right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right" vertical="center"/>
    </xf>
    <xf numFmtId="183" fontId="1" fillId="0" borderId="0" applyAlignment="1" pivotButton="0" quotePrefix="0" xfId="0">
      <alignment horizontal="right" vertical="center"/>
    </xf>
    <xf numFmtId="173" fontId="35" fillId="0" borderId="0" applyAlignment="1" pivotButton="0" quotePrefix="0" xfId="7">
      <alignment horizontal="center" vertical="center"/>
    </xf>
    <xf numFmtId="165" fontId="1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vertical="center"/>
    </xf>
    <xf numFmtId="176" fontId="33" fillId="0" borderId="0" applyAlignment="1" pivotButton="0" quotePrefix="0" xfId="0">
      <alignment vertical="center"/>
    </xf>
    <xf numFmtId="181" fontId="0" fillId="0" borderId="0" applyAlignment="1" pivotButton="0" quotePrefix="0" xfId="0">
      <alignment vertical="center" shrinkToFit="1"/>
    </xf>
    <xf numFmtId="176" fontId="0" fillId="0" borderId="0" applyAlignment="1" pivotButton="0" quotePrefix="0" xfId="0">
      <alignment horizontal="right" vertical="center"/>
    </xf>
    <xf numFmtId="165" fontId="48" fillId="0" borderId="1" applyAlignment="1" pivotButton="0" quotePrefix="0" xfId="0">
      <alignment vertical="center" shrinkToFit="1"/>
    </xf>
    <xf numFmtId="173" fontId="0" fillId="2" borderId="0" applyAlignment="1" pivotButton="0" quotePrefix="0" xfId="0">
      <alignment vertical="center"/>
    </xf>
    <xf numFmtId="182" fontId="0" fillId="0" borderId="0" applyAlignment="1" pivotButton="0" quotePrefix="0" xfId="0">
      <alignment vertical="center"/>
    </xf>
    <xf numFmtId="173" fontId="1" fillId="2" borderId="0" applyAlignment="1" pivotButton="0" quotePrefix="0" xfId="7">
      <alignment horizontal="center" vertical="center"/>
    </xf>
    <xf numFmtId="165" fontId="47" fillId="0" borderId="1" applyAlignment="1" pivotButton="0" quotePrefix="0" xfId="0">
      <alignment vertical="center" shrinkToFit="1"/>
    </xf>
    <xf numFmtId="166" fontId="22" fillId="0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1" fillId="0" borderId="1" applyAlignment="1" pivotButton="0" quotePrefix="0" xfId="6">
      <alignment horizontal="center" vertical="center"/>
    </xf>
    <xf numFmtId="166" fontId="1" fillId="0" borderId="2" applyAlignment="1" pivotButton="0" quotePrefix="0" xfId="6">
      <alignment horizontal="center" vertical="center"/>
    </xf>
    <xf numFmtId="165" fontId="1" fillId="0" borderId="2" applyAlignment="1" pivotButton="0" quotePrefix="0" xfId="6">
      <alignment horizontal="center" vertical="center"/>
    </xf>
    <xf numFmtId="167" fontId="53" fillId="0" borderId="1" applyAlignment="1" pivotButton="0" quotePrefix="0" xfId="6">
      <alignment vertical="center"/>
    </xf>
    <xf numFmtId="171" fontId="1" fillId="0" borderId="0" applyAlignment="1" pivotButton="0" quotePrefix="0" xfId="6">
      <alignment vertical="center"/>
    </xf>
    <xf numFmtId="173" fontId="1" fillId="0" borderId="0" applyAlignment="1" pivotButton="0" quotePrefix="0" xfId="7">
      <alignment vertical="center"/>
    </xf>
    <xf numFmtId="167" fontId="1" fillId="0" borderId="1" applyAlignment="1" pivotButton="0" quotePrefix="0" xfId="6">
      <alignment vertical="center"/>
    </xf>
    <xf numFmtId="166" fontId="1" fillId="0" borderId="0" applyAlignment="1" pivotButton="0" quotePrefix="0" xfId="6">
      <alignment vertical="center"/>
    </xf>
    <xf numFmtId="167" fontId="1" fillId="0" borderId="0" applyAlignment="1" pivotButton="0" quotePrefix="0" xfId="6">
      <alignment vertical="center"/>
    </xf>
    <xf numFmtId="165" fontId="1" fillId="0" borderId="0" applyAlignment="1" pivotButton="0" quotePrefix="0" xfId="6">
      <alignment vertical="center"/>
    </xf>
    <xf numFmtId="180" fontId="1" fillId="0" borderId="0" applyAlignment="1" pivotButton="0" quotePrefix="0" xfId="1">
      <alignment vertical="center"/>
    </xf>
    <xf numFmtId="177" fontId="1" fillId="0" borderId="0" applyAlignment="1" pivotButton="0" quotePrefix="0" xfId="6">
      <alignment vertical="center"/>
    </xf>
    <xf numFmtId="168" fontId="1" fillId="0" borderId="0" applyAlignment="1" pivotButton="0" quotePrefix="0" xfId="6">
      <alignment vertical="center"/>
    </xf>
    <xf numFmtId="165" fontId="0" fillId="0" borderId="1" applyAlignment="1" pivotButton="0" quotePrefix="0" xfId="0">
      <alignment horizontal="right" vertical="center"/>
    </xf>
    <xf numFmtId="171" fontId="37" fillId="0" borderId="1" applyAlignment="1" pivotButton="0" quotePrefix="0" xfId="2">
      <alignment vertical="center"/>
    </xf>
    <xf numFmtId="165" fontId="37" fillId="0" borderId="1" applyAlignment="1" pivotButton="0" quotePrefix="0" xfId="2">
      <alignment vertical="center"/>
    </xf>
    <xf numFmtId="165" fontId="37" fillId="0" borderId="0" pivotButton="0" quotePrefix="0" xfId="2"/>
    <xf numFmtId="171" fontId="37" fillId="0" borderId="0" applyAlignment="1" pivotButton="0" quotePrefix="0" xfId="2">
      <alignment vertical="center"/>
    </xf>
    <xf numFmtId="177" fontId="0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right" vertical="center"/>
    </xf>
    <xf numFmtId="166" fontId="51" fillId="0" borderId="0" applyAlignment="1" pivotButton="0" quotePrefix="0" xfId="0">
      <alignment horizontal="left" vertical="center"/>
    </xf>
    <xf numFmtId="167" fontId="51" fillId="0" borderId="0" applyAlignment="1" pivotButton="0" quotePrefix="0" xfId="0">
      <alignment vertical="center"/>
    </xf>
    <xf numFmtId="166" fontId="51" fillId="0" borderId="0" applyAlignment="1" pivotButton="0" quotePrefix="0" xfId="0">
      <alignment vertical="center"/>
    </xf>
    <xf numFmtId="167" fontId="0" fillId="0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left" vertical="center"/>
    </xf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5" fontId="8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168" fontId="15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vertical="center"/>
    </xf>
  </cellXfs>
  <cellStyles count="8">
    <cellStyle name="常规" xfId="0" builtinId="0"/>
    <cellStyle name="百分比" xfId="1" builtinId="5"/>
    <cellStyle name="常规 2" xfId="2"/>
    <cellStyle name="常规_Sheet1" xfId="3"/>
    <cellStyle name="常规_测算表" xfId="4"/>
    <cellStyle name="常规_产成品" xfId="5"/>
    <cellStyle name="常规_原材料进销存月结表" xfId="6"/>
    <cellStyle name="千位分隔" xfId="7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xb21cn</author>
  </authors>
  <commentList>
    <comment ref="M3" authorId="0" shapeId="0">
      <text>
        <t>调整为0</t>
      </text>
    </comment>
  </commentList>
</comments>
</file>

<file path=xl/comments/comment2.xml><?xml version="1.0" encoding="utf-8"?>
<comments xmlns="http://schemas.openxmlformats.org/spreadsheetml/2006/main">
  <authors>
    <author>JX</author>
    <author>xb21cn</author>
  </authors>
  <commentList>
    <comment ref="K7" authorId="0" shapeId="0">
      <text>
        <t>废料成本</t>
      </text>
    </comment>
    <comment ref="G30" authorId="1" shapeId="0">
      <text>
        <t>个体经营所得税成本</t>
      </text>
    </comment>
    <comment ref="E31" authorId="1" shapeId="0">
      <text>
        <t>差异调整为0</t>
      </text>
    </comment>
  </commentList>
</comments>
</file>

<file path=xl/comments/comment3.xml><?xml version="1.0" encoding="utf-8"?>
<comments xmlns="http://schemas.openxmlformats.org/spreadsheetml/2006/main">
  <authors>
    <author>xb21cn</author>
    <author>JX</author>
  </authors>
  <commentList>
    <comment ref="K27" authorId="0" shapeId="0">
      <text>
        <t>含税单价</t>
      </text>
    </comment>
    <comment ref="L27" authorId="0" shapeId="0">
      <text>
        <t>含税销售额</t>
      </text>
    </comment>
    <comment ref="L39" authorId="0" shapeId="0">
      <text>
        <t>含税销售额</t>
      </text>
    </comment>
    <comment ref="N39" authorId="1" shapeId="0">
      <text>
        <t>不含税金额</t>
      </text>
    </comment>
    <comment ref="O39" authorId="1" shapeId="0">
      <text>
        <t>废料成本</t>
      </text>
    </comment>
    <comment ref="N65" authorId="1" shapeId="0">
      <text>
        <t>不含税金额</t>
      </text>
    </comment>
    <comment ref="O65" authorId="1" shapeId="0">
      <text>
        <t>废料成本</t>
      </text>
    </comment>
    <comment ref="W78" authorId="1" shapeId="0">
      <text>
        <t>不含税金额</t>
      </text>
    </comment>
    <comment ref="X78" authorId="1" shapeId="0">
      <text>
        <t>废料成本</t>
      </text>
    </comment>
    <comment ref="N81" authorId="1" shapeId="0">
      <text>
        <t>不含税金额</t>
      </text>
    </comment>
    <comment ref="O81" authorId="1" shapeId="0">
      <text>
        <t>废料成本</t>
      </text>
    </comment>
    <comment ref="W94" authorId="1" shapeId="0">
      <text>
        <t>不含税金额</t>
      </text>
    </comment>
    <comment ref="X94" authorId="1" shapeId="0">
      <text>
        <t>废料成本</t>
      </text>
    </comment>
    <comment ref="W119" authorId="1" shapeId="0">
      <text>
        <t>不含税金额</t>
      </text>
    </comment>
    <comment ref="X119" authorId="1" shapeId="0">
      <text>
        <t>废料成本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79"/>
  <sheetViews>
    <sheetView tabSelected="1" zoomScaleNormal="100" workbookViewId="0">
      <selection activeCell="G10" sqref="G10"/>
    </sheetView>
  </sheetViews>
  <sheetFormatPr baseColWidth="8" defaultRowHeight="15.6"/>
  <cols>
    <col width="19.59765625" bestFit="1" customWidth="1" style="264" min="1" max="1"/>
    <col width="8.796875" bestFit="1" customWidth="1" style="264" min="2" max="2"/>
    <col width="9.69921875" bestFit="1" customWidth="1" style="264" min="3" max="4"/>
    <col width="11.5" bestFit="1" customWidth="1" style="264" min="5" max="5"/>
    <col width="10.69921875" bestFit="1" customWidth="1" style="264" min="6" max="6"/>
    <col width="11.3984375" bestFit="1" customWidth="1" style="264" min="7" max="7"/>
    <col width="10.69921875" bestFit="1" customWidth="1" style="264" min="8" max="8"/>
    <col width="6.09765625" bestFit="1" customWidth="1" style="264" min="9" max="9"/>
    <col width="10.69921875" bestFit="1" customWidth="1" style="264" min="10" max="10"/>
    <col width="8.796875" bestFit="1" customWidth="1" style="264" min="11" max="11"/>
    <col width="9.69921875" bestFit="1" customWidth="1" style="264" min="12" max="12"/>
    <col width="13.19921875" bestFit="1" customWidth="1" style="264" min="14" max="14"/>
    <col width="10.5" bestFit="1" customWidth="1" style="264" min="15" max="15"/>
    <col width="4.3984375" bestFit="1" customWidth="1" style="264" min="17" max="17"/>
    <col width="15.09765625" bestFit="1" customWidth="1" style="264" min="18" max="18"/>
    <col width="12.69921875" bestFit="1" customWidth="1" style="264" min="19" max="19"/>
    <col width="13.8984375" bestFit="1" customWidth="1" style="264" min="20" max="20"/>
    <col width="11.59765625" bestFit="1" customWidth="1" style="264" min="21" max="21"/>
    <col width="13.8984375" bestFit="1" customWidth="1" style="264" min="22" max="22"/>
  </cols>
  <sheetData>
    <row r="1" ht="55.5" customHeight="1" s="264">
      <c r="A1" s="237" t="inlineStr">
        <is>
          <t>产品销售成本计算表</t>
        </is>
      </c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2" t="n"/>
    </row>
    <row r="2" ht="33.75" customHeight="1" s="264">
      <c r="A2" s="236" t="inlineStr">
        <is>
          <t xml:space="preserve">  编制单位：揭阳市揭东区磐东洪运来机械厂                    2025年12月                               单位:元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  <c r="J2" s="265" t="n"/>
      <c r="K2" s="265" t="n"/>
      <c r="L2" s="265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  <c r="AA2" s="33" t="n"/>
    </row>
    <row r="3" ht="33" customHeight="1" s="264">
      <c r="A3" s="238" t="inlineStr">
        <is>
          <t>品名　　　　项目</t>
        </is>
      </c>
      <c r="B3" s="239" t="inlineStr">
        <is>
          <t>期初库存</t>
        </is>
      </c>
      <c r="C3" s="266" t="n"/>
      <c r="D3" s="239" t="inlineStr">
        <is>
          <t>本期销售</t>
        </is>
      </c>
      <c r="E3" s="266" t="n"/>
      <c r="F3" s="239" t="inlineStr">
        <is>
          <t>本期生产</t>
        </is>
      </c>
      <c r="G3" s="266" t="n"/>
      <c r="H3" s="239" t="inlineStr">
        <is>
          <t>本月销售成本</t>
        </is>
      </c>
      <c r="I3" s="267" t="n"/>
      <c r="J3" s="266" t="n"/>
      <c r="K3" s="239" t="inlineStr">
        <is>
          <t>期末库存</t>
        </is>
      </c>
      <c r="L3" s="266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</row>
    <row r="4" ht="33" customHeight="1" s="264">
      <c r="A4" s="268" t="n"/>
      <c r="B4" s="239" t="inlineStr">
        <is>
          <t>数量</t>
        </is>
      </c>
      <c r="C4" s="239" t="inlineStr">
        <is>
          <t>金额</t>
        </is>
      </c>
      <c r="D4" s="239" t="inlineStr">
        <is>
          <t>数量</t>
        </is>
      </c>
      <c r="E4" s="239" t="inlineStr">
        <is>
          <t>金额</t>
        </is>
      </c>
      <c r="F4" s="239" t="inlineStr">
        <is>
          <t>数量</t>
        </is>
      </c>
      <c r="G4" s="239" t="inlineStr">
        <is>
          <t>金额</t>
        </is>
      </c>
      <c r="H4" s="239" t="inlineStr">
        <is>
          <t>数量</t>
        </is>
      </c>
      <c r="I4" s="239" t="inlineStr">
        <is>
          <t>单价</t>
        </is>
      </c>
      <c r="J4" s="239" t="inlineStr">
        <is>
          <t>金额</t>
        </is>
      </c>
      <c r="K4" s="239" t="inlineStr">
        <is>
          <t>数量</t>
        </is>
      </c>
      <c r="L4" s="239" t="inlineStr">
        <is>
          <t>金额</t>
        </is>
      </c>
      <c r="M4" s="33" t="n"/>
      <c r="N4" s="176" t="inlineStr">
        <is>
          <t>销售单价</t>
        </is>
      </c>
      <c r="P4" s="33" t="n"/>
      <c r="Q4" s="33" t="n"/>
      <c r="R4" s="174" t="inlineStr">
        <is>
          <t>报关</t>
        </is>
      </c>
      <c r="S4" s="174" t="inlineStr">
        <is>
          <t>数量</t>
        </is>
      </c>
      <c r="T4" s="174" t="inlineStr">
        <is>
          <t>金额</t>
        </is>
      </c>
      <c r="U4" s="33" t="inlineStr">
        <is>
          <t>订单</t>
        </is>
      </c>
      <c r="V4" s="174" t="inlineStr">
        <is>
          <t>成本</t>
        </is>
      </c>
      <c r="W4" s="33" t="n"/>
      <c r="X4" s="33" t="n"/>
      <c r="Y4" s="33" t="n"/>
      <c r="Z4" s="33" t="n"/>
      <c r="AA4" s="33" t="n"/>
    </row>
    <row r="5" ht="39.75" customHeight="1" s="264">
      <c r="A5" s="60" t="inlineStr">
        <is>
          <t>铁制导轨（千克</t>
        </is>
      </c>
      <c r="B5" s="269" t="n">
        <v>80175.76999999999</v>
      </c>
      <c r="C5" s="270" t="n">
        <v>575550.95</v>
      </c>
      <c r="D5" s="270" t="n">
        <v>80175.77</v>
      </c>
      <c r="E5" s="270" t="n">
        <v>617291.3500000001</v>
      </c>
      <c r="F5" s="271">
        <f>S5</f>
        <v/>
      </c>
      <c r="G5" s="231">
        <f>E5/D5*D5*测算表!$G$25*0+V5</f>
        <v/>
      </c>
      <c r="H5" s="271">
        <f>D5</f>
        <v/>
      </c>
      <c r="I5" s="270">
        <f>(C5+G5)/(B5+F5)</f>
        <v/>
      </c>
      <c r="J5" s="270">
        <f>H5*I5</f>
        <v/>
      </c>
      <c r="K5" s="270">
        <f>B5+F5-H5</f>
        <v/>
      </c>
      <c r="L5" s="270">
        <f>C5+G5-J5</f>
        <v/>
      </c>
      <c r="M5" s="34" t="n"/>
      <c r="N5" s="272">
        <f>E6/D6</f>
        <v/>
      </c>
      <c r="O5" s="33" t="n"/>
      <c r="P5" s="33" t="n"/>
      <c r="Q5" s="33" t="n"/>
      <c r="R5" s="33" t="inlineStr">
        <is>
          <t>铁制导轨（千克</t>
        </is>
      </c>
      <c r="S5" s="226" t="n">
        <v>58351.29</v>
      </c>
      <c r="T5" s="226" t="n">
        <v>421616.79</v>
      </c>
      <c r="U5" s="230" t="inlineStr">
        <is>
          <t>-76-77</t>
        </is>
      </c>
      <c r="V5" s="273">
        <f>T5*测算表!$G$25</f>
        <v/>
      </c>
      <c r="W5" s="33" t="n"/>
      <c r="X5" s="33" t="n"/>
      <c r="Y5" s="33" t="n"/>
      <c r="Z5" s="33" t="n"/>
      <c r="AA5" s="33" t="n"/>
    </row>
    <row r="6" ht="39.75" customHeight="1" s="264">
      <c r="A6" s="166" t="inlineStr">
        <is>
          <t>导轨（套</t>
        </is>
      </c>
      <c r="B6" s="269" t="n"/>
      <c r="C6" s="274" t="n"/>
      <c r="D6" s="270" t="n">
        <v>966</v>
      </c>
      <c r="E6" s="270" t="n">
        <v>5463.72</v>
      </c>
      <c r="F6" s="271">
        <f>D6-B6</f>
        <v/>
      </c>
      <c r="G6" s="270">
        <f>E6/D6*F6*测算表!$G$25</f>
        <v/>
      </c>
      <c r="H6" s="271">
        <f>D6</f>
        <v/>
      </c>
      <c r="I6" s="270">
        <f>(C6+G6)/(B6+F6)</f>
        <v/>
      </c>
      <c r="J6" s="270">
        <f>H6*I6</f>
        <v/>
      </c>
      <c r="K6" s="270">
        <f>B6+F6-H6</f>
        <v/>
      </c>
      <c r="L6" s="270">
        <f>C6+G6-J6</f>
        <v/>
      </c>
      <c r="M6" s="34" t="n"/>
      <c r="N6" s="272">
        <f>E7/D7</f>
        <v/>
      </c>
      <c r="O6" s="33" t="n"/>
      <c r="P6" s="33" t="n"/>
      <c r="Q6" s="33" t="n"/>
      <c r="R6" s="33" t="n"/>
      <c r="S6" s="178" t="n"/>
      <c r="T6" s="178" t="n"/>
      <c r="U6" s="33" t="n"/>
      <c r="V6" s="273" t="n"/>
      <c r="W6" s="33" t="n"/>
      <c r="X6" s="33" t="n"/>
      <c r="Y6" s="33" t="n"/>
      <c r="Z6" s="33" t="n"/>
      <c r="AA6" s="33" t="n"/>
    </row>
    <row r="7" ht="39.75" customHeight="1" s="264">
      <c r="A7" s="239" t="inlineStr">
        <is>
          <t>滑轨（付</t>
        </is>
      </c>
      <c r="B7" s="269" t="n"/>
      <c r="C7" s="270" t="n"/>
      <c r="D7" s="270" t="n">
        <v>37360</v>
      </c>
      <c r="E7" s="270" t="n">
        <v>140194.16</v>
      </c>
      <c r="F7" s="271">
        <f>D7-B7</f>
        <v/>
      </c>
      <c r="G7" s="270">
        <f>E7/D7*F7*测算表!$G$25</f>
        <v/>
      </c>
      <c r="H7" s="271">
        <f>D7</f>
        <v/>
      </c>
      <c r="I7" s="270">
        <f>(C7+G7)/(B7+F7)</f>
        <v/>
      </c>
      <c r="J7" s="270">
        <f>H7*I7</f>
        <v/>
      </c>
      <c r="K7" s="270">
        <f>B7+F7-H7</f>
        <v/>
      </c>
      <c r="L7" s="270">
        <f>C7+G7-J7</f>
        <v/>
      </c>
      <c r="M7" s="34" t="n"/>
      <c r="N7" s="272">
        <f>E10/D10</f>
        <v/>
      </c>
      <c r="O7" s="33" t="n"/>
      <c r="P7" s="33" t="n"/>
      <c r="Q7" s="33" t="n"/>
      <c r="R7" s="33" t="n"/>
      <c r="S7" s="178" t="n"/>
      <c r="T7" s="178" t="n"/>
      <c r="U7" s="33" t="n"/>
      <c r="V7" s="273" t="n"/>
      <c r="W7" s="33" t="n"/>
      <c r="X7" s="33" t="n"/>
      <c r="Y7" s="33" t="n"/>
      <c r="Z7" s="33" t="n"/>
      <c r="AA7" s="33" t="n"/>
    </row>
    <row r="8" ht="39.75" customHeight="1" s="264">
      <c r="A8" s="239" t="inlineStr">
        <is>
          <t>滑轨（套</t>
        </is>
      </c>
      <c r="B8" s="269" t="n"/>
      <c r="C8" s="274" t="n"/>
      <c r="D8" s="270" t="n">
        <v>16590</v>
      </c>
      <c r="E8" s="270" t="n">
        <v>79355.75</v>
      </c>
      <c r="F8" s="271">
        <f>D8-B8</f>
        <v/>
      </c>
      <c r="G8" s="270">
        <f>E8/D8*F8*测算表!$G$25</f>
        <v/>
      </c>
      <c r="H8" s="271">
        <f>D8</f>
        <v/>
      </c>
      <c r="I8" s="270">
        <f>(C8+G8)/(B8+F8)</f>
        <v/>
      </c>
      <c r="J8" s="270">
        <f>H8*I8</f>
        <v/>
      </c>
      <c r="K8" s="270">
        <f>B8+F8-H8</f>
        <v/>
      </c>
      <c r="L8" s="270">
        <f>C8+G8-J8</f>
        <v/>
      </c>
      <c r="M8" s="34" t="n"/>
      <c r="N8" s="272" t="n"/>
      <c r="P8" s="33" t="n"/>
      <c r="Q8" s="33" t="n"/>
      <c r="R8" s="33" t="n"/>
      <c r="S8" s="178" t="n"/>
      <c r="T8" s="178" t="n"/>
      <c r="U8" s="33" t="n"/>
      <c r="V8" s="273" t="n"/>
      <c r="W8" s="33" t="n"/>
      <c r="X8" s="33" t="n"/>
      <c r="Y8" s="33" t="n"/>
      <c r="Z8" s="33" t="n"/>
      <c r="AA8" s="33" t="n"/>
    </row>
    <row r="9" ht="39.75" customHeight="1" s="264">
      <c r="A9" s="223" t="n"/>
      <c r="B9" s="269" t="n"/>
      <c r="C9" s="274" t="n"/>
      <c r="D9" s="270" t="n"/>
      <c r="E9" s="270" t="n"/>
      <c r="F9" s="271" t="n"/>
      <c r="G9" s="270" t="n"/>
      <c r="H9" s="271" t="n"/>
      <c r="I9" s="270" t="n"/>
      <c r="J9" s="270" t="n"/>
      <c r="K9" s="270" t="n"/>
      <c r="L9" s="270" t="n"/>
      <c r="M9" s="34" t="n"/>
      <c r="N9" s="272" t="n"/>
      <c r="O9" s="33" t="n"/>
      <c r="P9" s="33" t="n"/>
      <c r="Q9" s="33" t="n"/>
      <c r="R9" s="33" t="n"/>
      <c r="S9" s="273">
        <f>SUM(S5:S8)</f>
        <v/>
      </c>
      <c r="T9" s="273">
        <f>SUM(T5:T8)</f>
        <v/>
      </c>
      <c r="U9" s="33">
        <f>T9/S9</f>
        <v/>
      </c>
      <c r="V9" s="273">
        <f>SUM(V5:V8)</f>
        <v/>
      </c>
      <c r="W9" s="33" t="n"/>
      <c r="X9" s="33" t="n"/>
      <c r="Y9" s="33" t="n"/>
      <c r="Z9" s="33" t="n"/>
      <c r="AA9" s="33" t="n"/>
    </row>
    <row r="10" ht="39.75" customHeight="1" s="264">
      <c r="A10" s="149" t="n"/>
      <c r="B10" s="270" t="n"/>
      <c r="C10" s="274" t="n"/>
      <c r="D10" s="270" t="n"/>
      <c r="E10" s="270" t="n"/>
      <c r="F10" s="271" t="n"/>
      <c r="G10" s="270" t="n"/>
      <c r="H10" s="271" t="n"/>
      <c r="I10" s="270" t="n"/>
      <c r="J10" s="270" t="n"/>
      <c r="K10" s="270" t="n"/>
      <c r="L10" s="270" t="n"/>
      <c r="M10" s="34" t="n"/>
      <c r="N10" s="34" t="n"/>
      <c r="O10" s="275" t="n"/>
      <c r="P10" s="33" t="n"/>
      <c r="Q10" s="33" t="n"/>
      <c r="R10" s="33" t="n"/>
      <c r="S10" s="273" t="n"/>
      <c r="T10" s="273" t="n"/>
      <c r="U10" s="33" t="n"/>
      <c r="V10" s="273" t="n"/>
      <c r="W10" s="33" t="n"/>
      <c r="X10" s="33" t="n"/>
      <c r="Y10" s="33" t="n"/>
      <c r="Z10" s="33" t="n"/>
      <c r="AA10" s="33" t="n"/>
    </row>
    <row r="11" ht="39.75" customHeight="1" s="264">
      <c r="A11" s="239" t="n"/>
      <c r="B11" s="269" t="n"/>
      <c r="C11" s="274" t="n"/>
      <c r="D11" s="270" t="n"/>
      <c r="E11" s="274" t="n"/>
      <c r="F11" s="271" t="n"/>
      <c r="G11" s="270" t="n"/>
      <c r="H11" s="271" t="n"/>
      <c r="I11" s="270" t="n"/>
      <c r="J11" s="270" t="n"/>
      <c r="K11" s="270" t="n"/>
      <c r="L11" s="270" t="n"/>
      <c r="M11" s="34" t="n"/>
      <c r="N11" s="34" t="n"/>
      <c r="O11" s="33" t="n"/>
      <c r="R11" s="275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</row>
    <row r="12" ht="39.75" customHeight="1" s="264">
      <c r="A12" s="239" t="inlineStr">
        <is>
          <t>合　　计</t>
        </is>
      </c>
      <c r="B12" s="270">
        <f>SUM(B5:B11)</f>
        <v/>
      </c>
      <c r="C12" s="270">
        <f>SUM(C5:C11)</f>
        <v/>
      </c>
      <c r="D12" s="270">
        <f>SUM(D5:D11)</f>
        <v/>
      </c>
      <c r="E12" s="270">
        <f>SUM(E5:E11)</f>
        <v/>
      </c>
      <c r="F12" s="270">
        <f>SUM(F5:F11)</f>
        <v/>
      </c>
      <c r="G12" s="270">
        <f>SUM(G5:G11)</f>
        <v/>
      </c>
      <c r="H12" s="270">
        <f>SUM(H5:H11)</f>
        <v/>
      </c>
      <c r="I12" s="270" t="n"/>
      <c r="J12" s="270">
        <f>SUM(J5:J11)</f>
        <v/>
      </c>
      <c r="K12" s="270">
        <f>SUM(K5:K11)</f>
        <v/>
      </c>
      <c r="L12" s="270">
        <f>SUM(L5:L11)</f>
        <v/>
      </c>
      <c r="M12" s="276" t="n"/>
      <c r="N12" s="34" t="n"/>
      <c r="O12" s="33" t="n"/>
      <c r="R12" s="277" t="n"/>
      <c r="W12" s="33" t="n"/>
      <c r="X12" s="33" t="n"/>
      <c r="Y12" s="33" t="n"/>
      <c r="Z12" s="33" t="n"/>
      <c r="AA12" s="33" t="n"/>
    </row>
    <row r="13" ht="30.75" customHeight="1" s="264">
      <c r="A13" s="122" t="n"/>
      <c r="B13" s="122" t="n"/>
      <c r="C13" s="122" t="n"/>
      <c r="D13" s="122" t="n"/>
      <c r="E13" s="122" t="n"/>
      <c r="F13" s="122" t="n"/>
      <c r="G13" s="122" t="n"/>
      <c r="H13" s="122" t="n"/>
      <c r="I13" s="122" t="n"/>
      <c r="J13" s="122" t="n"/>
      <c r="K13" s="122" t="n"/>
      <c r="L13" s="122" t="n"/>
      <c r="M13" s="276" t="n"/>
      <c r="N13" s="33" t="n"/>
      <c r="O13" s="33" t="n"/>
      <c r="W13" s="33" t="n"/>
      <c r="X13" s="33" t="n"/>
      <c r="Y13" s="33" t="n"/>
      <c r="Z13" s="33" t="n"/>
      <c r="AA13" s="33" t="n"/>
    </row>
    <row r="14">
      <c r="A14" s="33" t="n"/>
      <c r="B14" s="33" t="n"/>
      <c r="C14" s="33" t="n"/>
      <c r="D14" s="275" t="n"/>
      <c r="E14" s="275" t="n"/>
      <c r="F14" s="33" t="n"/>
      <c r="G14" s="33" t="n"/>
      <c r="H14" s="33" t="n"/>
      <c r="I14" s="33" t="n"/>
      <c r="J14" s="227">
        <f>H10*I10</f>
        <v/>
      </c>
      <c r="K14" s="33" t="n"/>
      <c r="L14" s="33" t="n"/>
      <c r="M14" s="33" t="n"/>
      <c r="N14" s="33" t="n"/>
      <c r="O14" s="33" t="n"/>
      <c r="W14" s="33" t="n"/>
      <c r="X14" s="33" t="n"/>
      <c r="Y14" s="33" t="n"/>
      <c r="Z14" s="33" t="n"/>
      <c r="AA14" s="33" t="n"/>
    </row>
    <row r="15">
      <c r="A15" s="33" t="n"/>
      <c r="B15" s="33" t="n"/>
      <c r="C15" s="33" t="n"/>
      <c r="D15" s="33" t="n"/>
      <c r="E15" s="275" t="n"/>
      <c r="F15" s="33" t="n"/>
      <c r="G15" s="33" t="n"/>
      <c r="H15" s="33" t="n"/>
      <c r="I15" s="33" t="n"/>
      <c r="J15" s="32" t="n"/>
      <c r="K15" s="33" t="n"/>
      <c r="L15" s="33" t="n"/>
      <c r="M15" s="33" t="n"/>
      <c r="N15" s="33" t="n"/>
      <c r="O15" s="33" t="n"/>
      <c r="W15" s="33" t="n"/>
      <c r="X15" s="33" t="n"/>
      <c r="Y15" s="33" t="n"/>
      <c r="Z15" s="33" t="n"/>
      <c r="AA15" s="33" t="n"/>
    </row>
    <row r="16">
      <c r="A16" s="36" t="n"/>
      <c r="B16" s="36" t="n"/>
      <c r="C16" s="36" t="n"/>
      <c r="D16" s="36" t="n"/>
      <c r="E16" s="278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W16" s="36" t="n"/>
      <c r="X16" s="36" t="n"/>
      <c r="Y16" s="36" t="n"/>
      <c r="Z16" s="36" t="n"/>
      <c r="AA16" s="36" t="n"/>
    </row>
    <row r="17">
      <c r="A17" s="36" t="n"/>
      <c r="B17" s="36" t="n"/>
      <c r="C17" s="36" t="n"/>
      <c r="D17" s="36" t="n"/>
      <c r="E17" s="278">
        <f>E6+E7</f>
        <v/>
      </c>
      <c r="F17" s="36" t="n"/>
      <c r="G17" s="278" t="n"/>
      <c r="H17" s="36" t="n"/>
      <c r="I17" s="36" t="n"/>
      <c r="J17" s="36" t="n"/>
      <c r="K17" s="36" t="n"/>
      <c r="L17" s="36" t="n"/>
      <c r="M17" s="36" t="n"/>
      <c r="N17" s="36" t="n"/>
      <c r="O17" s="36" t="n"/>
      <c r="W17" s="36" t="n"/>
      <c r="X17" s="36" t="n"/>
      <c r="Y17" s="36" t="n"/>
      <c r="Z17" s="36" t="n"/>
      <c r="AA17" s="36" t="n"/>
    </row>
    <row r="18">
      <c r="A18" s="32" t="n"/>
      <c r="B18" s="32" t="n"/>
      <c r="C18" s="32" t="n"/>
      <c r="D18" s="32" t="n"/>
      <c r="E18" s="32" t="n"/>
      <c r="F18" s="279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W18" s="32" t="n"/>
      <c r="X18" s="32" t="n"/>
      <c r="Y18" s="32" t="n"/>
      <c r="Z18" s="32" t="n"/>
      <c r="AA18" s="32" t="n"/>
    </row>
    <row r="19">
      <c r="A19" s="36" t="n"/>
      <c r="B19" s="36" t="n"/>
      <c r="C19" s="36" t="n"/>
      <c r="D19" s="36" t="n"/>
      <c r="E19" s="280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W19" s="36" t="n"/>
      <c r="X19" s="36" t="n"/>
      <c r="Y19" s="36" t="n"/>
      <c r="Z19" s="36" t="n"/>
      <c r="AA19" s="36" t="n"/>
    </row>
    <row r="20">
      <c r="A20" s="36" t="n"/>
      <c r="B20" s="36" t="n"/>
      <c r="C20" s="36" t="n"/>
      <c r="D20" s="281" t="n"/>
      <c r="E20" s="279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W20" s="36" t="n"/>
      <c r="X20" s="36" t="n"/>
      <c r="Y20" s="36" t="n"/>
      <c r="Z20" s="36" t="n"/>
      <c r="AA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W21" s="36" t="n"/>
      <c r="X21" s="36" t="n"/>
      <c r="Y21" s="36" t="n"/>
      <c r="Z21" s="36" t="n"/>
      <c r="AA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W22" s="36" t="n"/>
      <c r="X22" s="36" t="n"/>
      <c r="Y22" s="36" t="n"/>
      <c r="Z22" s="36" t="n"/>
      <c r="AA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6" t="n"/>
      <c r="S47" s="36" t="n"/>
      <c r="T47" s="36" t="n"/>
      <c r="U47" s="36" t="n"/>
      <c r="V47" s="36" t="n"/>
      <c r="W47" s="33" t="n"/>
      <c r="X47" s="33" t="n"/>
      <c r="Y47" s="33" t="n"/>
      <c r="Z47" s="33" t="n"/>
      <c r="AA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  <c r="AA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  <c r="AA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</row>
    <row r="57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  <c r="AA57" s="3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 t="n"/>
      <c r="Y58" s="33" t="n"/>
      <c r="Z58" s="33" t="n"/>
      <c r="AA58" s="33" t="n"/>
    </row>
    <row r="59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  <c r="AA59" s="33" t="n"/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</row>
    <row r="61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</row>
    <row r="6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</row>
    <row r="63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</row>
    <row r="6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</row>
    <row r="65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</row>
    <row r="66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  <c r="AA66" s="33" t="n"/>
    </row>
    <row r="6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  <c r="AA67" s="33" t="n"/>
    </row>
    <row r="68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</row>
    <row r="7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</row>
    <row r="71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</row>
    <row r="7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</row>
    <row r="73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</row>
    <row r="7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</row>
    <row r="75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  <c r="AA75" s="33" t="n"/>
    </row>
    <row r="76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  <c r="AA76" s="33" t="n"/>
    </row>
    <row r="77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33" t="n"/>
    </row>
    <row r="78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33" t="n"/>
    </row>
    <row r="79">
      <c r="R79" s="33" t="n"/>
      <c r="S79" s="33" t="n"/>
      <c r="T79" s="33" t="n"/>
      <c r="U79" s="33" t="n"/>
      <c r="V79" s="33" t="n"/>
    </row>
  </sheetData>
  <mergeCells count="8">
    <mergeCell ref="F3:G3"/>
    <mergeCell ref="A2:L2"/>
    <mergeCell ref="B3:C3"/>
    <mergeCell ref="A3:A4"/>
    <mergeCell ref="A1:L1"/>
    <mergeCell ref="H3:J3"/>
    <mergeCell ref="D3:E3"/>
    <mergeCell ref="K3:L3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 scale="70" blackAndWhite="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Q64"/>
  <sheetViews>
    <sheetView zoomScaleNormal="100" workbookViewId="0">
      <selection activeCell="B11" sqref="B11"/>
    </sheetView>
  </sheetViews>
  <sheetFormatPr baseColWidth="8" defaultRowHeight="15.6"/>
  <cols>
    <col width="20.19921875" customWidth="1" style="264" min="1" max="1"/>
    <col width="13.69921875" customWidth="1" style="264" min="2" max="7"/>
    <col hidden="1" width="13.69921875" customWidth="1" style="264" min="8" max="9"/>
    <col width="10.5" bestFit="1" customWidth="1" style="264" min="11" max="11"/>
    <col width="18.8984375" bestFit="1" customWidth="1" style="66" min="12" max="12"/>
    <col width="8.09765625" customWidth="1" style="66" min="13" max="13"/>
    <col width="12.59765625" bestFit="1" customWidth="1" style="264" min="15" max="15"/>
  </cols>
  <sheetData>
    <row r="1" ht="24.75" customHeight="1" s="264">
      <c r="A1" s="243" t="inlineStr">
        <is>
          <t>产  品  成  本  核  算  表</t>
        </is>
      </c>
    </row>
    <row r="2" ht="20.25" customHeight="1" s="264">
      <c r="A2" s="242" t="inlineStr">
        <is>
          <t xml:space="preserve">  编制单位:揭阳市揭东区磐东洪运来机械厂                   2025.12                        单位:元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</row>
    <row r="3" ht="45.75" customHeight="1" s="264">
      <c r="A3" s="70" t="inlineStr">
        <is>
          <t>项目　    　品名</t>
        </is>
      </c>
      <c r="B3" s="71" t="inlineStr">
        <is>
          <t>总计金额</t>
        </is>
      </c>
      <c r="C3" s="72">
        <f>销售成本!A5</f>
        <v/>
      </c>
      <c r="D3" s="72">
        <f>销售成本!A6</f>
        <v/>
      </c>
      <c r="E3" s="72">
        <f>销售成本!A7</f>
        <v/>
      </c>
      <c r="F3" s="72">
        <f>销售成本!A8</f>
        <v/>
      </c>
      <c r="G3" s="72" t="n"/>
      <c r="H3" s="72" t="n"/>
      <c r="I3" s="73" t="n"/>
      <c r="K3" s="66" t="n"/>
      <c r="L3" s="282">
        <f>生产成本月结表!J4</f>
        <v/>
      </c>
      <c r="M3" s="168">
        <f>生产成本月结表!E4-测算表!K7</f>
        <v/>
      </c>
    </row>
    <row r="4" ht="22.5" customHeight="1" s="264">
      <c r="A4" s="54" t="inlineStr">
        <is>
          <t>一、直接计入</t>
        </is>
      </c>
      <c r="B4" s="283">
        <f>B5+B7</f>
        <v/>
      </c>
      <c r="C4" s="283">
        <f>C5+C7</f>
        <v/>
      </c>
      <c r="D4" s="283">
        <f>D5+D7</f>
        <v/>
      </c>
      <c r="E4" s="283">
        <f>E5+E7</f>
        <v/>
      </c>
      <c r="F4" s="283">
        <f>F5+F7</f>
        <v/>
      </c>
      <c r="G4" s="283" t="n"/>
      <c r="H4" s="283" t="n"/>
      <c r="I4" s="283" t="n"/>
      <c r="J4" s="284" t="n"/>
      <c r="K4" s="285">
        <f>SUM(C4:I4)-B4</f>
        <v/>
      </c>
      <c r="L4" s="282">
        <f>生产成本月结表!J5</f>
        <v/>
      </c>
    </row>
    <row r="5" ht="22.5" customHeight="1" s="264">
      <c r="A5" s="53" t="inlineStr">
        <is>
          <t xml:space="preserve">    1.原材料</t>
        </is>
      </c>
      <c r="B5" s="283">
        <f>B16-B8-B7</f>
        <v/>
      </c>
      <c r="C5" s="283">
        <f>B5/B16*C16</f>
        <v/>
      </c>
      <c r="D5" s="283">
        <f>C5/C16*D16</f>
        <v/>
      </c>
      <c r="E5" s="283">
        <f>D5/D16*E16</f>
        <v/>
      </c>
      <c r="F5" s="283">
        <f>E5/E16*F16</f>
        <v/>
      </c>
      <c r="G5" s="283" t="n"/>
      <c r="H5" s="283" t="n"/>
      <c r="I5" s="283" t="n"/>
      <c r="J5" s="284" t="n"/>
      <c r="K5" s="285">
        <f>SUM(C5:I5)-B5</f>
        <v/>
      </c>
      <c r="L5" s="168">
        <f>生产成本月结表!E6</f>
        <v/>
      </c>
      <c r="M5" s="66" t="inlineStr">
        <is>
          <t>动力余额</t>
        </is>
      </c>
    </row>
    <row r="6" ht="22.5" customHeight="1" s="264">
      <c r="A6" s="53" t="inlineStr">
        <is>
          <t xml:space="preserve">    2.包装物</t>
        </is>
      </c>
      <c r="B6" s="283" t="n"/>
      <c r="C6" s="283" t="n"/>
      <c r="D6" s="283" t="n"/>
      <c r="E6" s="283" t="n"/>
      <c r="F6" s="283" t="n"/>
      <c r="G6" s="283" t="n"/>
      <c r="H6" s="283" t="n"/>
      <c r="I6" s="283" t="n"/>
      <c r="J6" s="284" t="n"/>
      <c r="K6" s="285" t="n"/>
    </row>
    <row r="7" ht="22.5" customHeight="1" s="264">
      <c r="A7" s="53" t="inlineStr">
        <is>
          <t xml:space="preserve">    3.工资及福利</t>
        </is>
      </c>
      <c r="B7" s="283">
        <f>B16*0.10743</f>
        <v/>
      </c>
      <c r="C7" s="283">
        <f>B7/B16*C16</f>
        <v/>
      </c>
      <c r="D7" s="283">
        <f>C7/C16*D16</f>
        <v/>
      </c>
      <c r="E7" s="283">
        <f>D7/D16*E16</f>
        <v/>
      </c>
      <c r="F7" s="283">
        <f>E7/E16*F16</f>
        <v/>
      </c>
      <c r="G7" s="283" t="n"/>
      <c r="H7" s="283" t="n"/>
      <c r="I7" s="283" t="n"/>
      <c r="J7" s="284" t="n"/>
      <c r="K7" s="285">
        <f>SUM(C7:I7)-B7</f>
        <v/>
      </c>
    </row>
    <row r="8" ht="22.5" customHeight="1" s="264">
      <c r="A8" s="75" t="inlineStr">
        <is>
          <t xml:space="preserve">二、分配计入 </t>
        </is>
      </c>
      <c r="B8" s="283">
        <f>B9+B10+B11+B13</f>
        <v/>
      </c>
      <c r="C8" s="283">
        <f>C9+C10+C11+C13</f>
        <v/>
      </c>
      <c r="D8" s="283">
        <f>D9+D10+D11+D13</f>
        <v/>
      </c>
      <c r="E8" s="283">
        <f>E9+E10+E11+E13</f>
        <v/>
      </c>
      <c r="F8" s="283">
        <f>F9+F10+F11+F13</f>
        <v/>
      </c>
      <c r="G8" s="283" t="n"/>
      <c r="H8" s="283" t="n"/>
      <c r="I8" s="283" t="n"/>
      <c r="J8" s="284" t="n"/>
      <c r="K8" s="285">
        <f>SUM(C8:I8)-B8</f>
        <v/>
      </c>
      <c r="L8" s="179" t="n"/>
      <c r="O8" s="57" t="inlineStr">
        <is>
          <t>加工费余额</t>
        </is>
      </c>
    </row>
    <row r="9" ht="22.5" customHeight="1" s="264">
      <c r="A9" s="53" t="inlineStr">
        <is>
          <t xml:space="preserve">    1.水电费</t>
        </is>
      </c>
      <c r="B9" s="283">
        <f>B16/54*电费!D64</f>
        <v/>
      </c>
      <c r="C9" s="283">
        <f>B9/B16*C16</f>
        <v/>
      </c>
      <c r="D9" s="283">
        <f>C9/C16*D16</f>
        <v/>
      </c>
      <c r="E9" s="283">
        <f>D9/D16*E16</f>
        <v/>
      </c>
      <c r="F9" s="283">
        <f>E9/E16*F16</f>
        <v/>
      </c>
      <c r="G9" s="283" t="n"/>
      <c r="H9" s="283" t="n"/>
      <c r="I9" s="283" t="n"/>
      <c r="J9" s="284" t="n"/>
      <c r="K9" s="285">
        <f>SUM(C9:I9)-B9</f>
        <v/>
      </c>
      <c r="L9" s="169" t="n"/>
      <c r="O9" s="228">
        <f>-165188.19+0-B11</f>
        <v/>
      </c>
    </row>
    <row r="10" ht="22.5" customHeight="1" s="264">
      <c r="A10" s="53" t="inlineStr">
        <is>
          <t xml:space="preserve">    2.折旧费</t>
        </is>
      </c>
      <c r="B10" s="283">
        <f>测算表!B9</f>
        <v/>
      </c>
      <c r="C10" s="283">
        <f>B10/B16*C16</f>
        <v/>
      </c>
      <c r="D10" s="283">
        <f>C10/C16*D16</f>
        <v/>
      </c>
      <c r="E10" s="283">
        <f>D10/D16*E16</f>
        <v/>
      </c>
      <c r="F10" s="283">
        <f>E10/E16*F16</f>
        <v/>
      </c>
      <c r="G10" s="283" t="n"/>
      <c r="H10" s="283" t="n"/>
      <c r="I10" s="283" t="n"/>
      <c r="J10" s="284" t="n"/>
      <c r="K10" s="285">
        <f>SUM(C10:I10)-B10</f>
        <v/>
      </c>
    </row>
    <row r="11" ht="22.5" customHeight="1" s="264">
      <c r="A11" s="53" t="inlineStr">
        <is>
          <t xml:space="preserve">    3.加工费</t>
        </is>
      </c>
      <c r="B11" s="283" t="n">
        <v>203905</v>
      </c>
      <c r="C11" s="283">
        <f>B11/B16*C16</f>
        <v/>
      </c>
      <c r="D11" s="283">
        <f>C11/C16*D16</f>
        <v/>
      </c>
      <c r="E11" s="283">
        <f>D11/D16*E16</f>
        <v/>
      </c>
      <c r="F11" s="283">
        <f>E11/E16*F16</f>
        <v/>
      </c>
      <c r="G11" s="283" t="n"/>
      <c r="H11" s="283" t="n"/>
      <c r="I11" s="283" t="n"/>
      <c r="J11" s="284" t="n"/>
      <c r="K11" s="285">
        <f>SUM(C11:I11)-B11</f>
        <v/>
      </c>
      <c r="L11" s="168">
        <f>B5/材料!J5*P11</f>
        <v/>
      </c>
      <c r="O11" s="0" t="n">
        <v>90</v>
      </c>
      <c r="P11" s="0">
        <f>Q11/O11</f>
        <v/>
      </c>
      <c r="Q11" s="0" t="n">
        <v>63716.81</v>
      </c>
    </row>
    <row r="12" ht="22.5" customHeight="1" s="264">
      <c r="A12" s="53" t="inlineStr">
        <is>
          <t xml:space="preserve">    4.劳动保护费</t>
        </is>
      </c>
      <c r="B12" s="283" t="n"/>
      <c r="C12" s="283" t="n"/>
      <c r="D12" s="283" t="n"/>
      <c r="E12" s="283" t="n"/>
      <c r="F12" s="283" t="n"/>
      <c r="G12" s="283" t="n"/>
      <c r="H12" s="283" t="n"/>
      <c r="I12" s="283" t="n"/>
      <c r="J12" s="284" t="n"/>
      <c r="K12" s="285" t="n"/>
    </row>
    <row r="13" ht="22.5" customHeight="1" s="264">
      <c r="A13" s="53" t="inlineStr">
        <is>
          <t xml:space="preserve">    5.物料费</t>
        </is>
      </c>
      <c r="B13" s="283" t="n"/>
      <c r="C13" s="283" t="n"/>
      <c r="D13" s="283" t="n"/>
      <c r="E13" s="283" t="n"/>
      <c r="F13" s="283" t="n"/>
      <c r="G13" s="283" t="n"/>
      <c r="H13" s="283" t="n"/>
      <c r="I13" s="283" t="n"/>
      <c r="J13" s="284" t="n"/>
      <c r="K13" s="285" t="n"/>
    </row>
    <row r="14" ht="22.5" customHeight="1" s="264">
      <c r="A14" s="53" t="inlineStr">
        <is>
          <t xml:space="preserve">    6.燃油费</t>
        </is>
      </c>
      <c r="B14" s="283" t="n"/>
      <c r="C14" s="283" t="n"/>
      <c r="D14" s="283" t="n"/>
      <c r="E14" s="283" t="n"/>
      <c r="F14" s="283" t="n"/>
      <c r="G14" s="283" t="n"/>
      <c r="H14" s="283" t="n"/>
      <c r="I14" s="283" t="n"/>
      <c r="J14" s="284" t="n"/>
      <c r="K14" s="285" t="n"/>
      <c r="M14" s="66" t="inlineStr">
        <is>
          <t>成本率</t>
        </is>
      </c>
    </row>
    <row r="15" ht="22.5" customHeight="1" s="264">
      <c r="A15" s="53" t="inlineStr">
        <is>
          <t xml:space="preserve">    7.其他费用</t>
        </is>
      </c>
      <c r="B15" s="283" t="n"/>
      <c r="C15" s="283" t="n"/>
      <c r="D15" s="283" t="n"/>
      <c r="E15" s="283" t="n"/>
      <c r="F15" s="283" t="n"/>
      <c r="G15" s="283" t="n"/>
      <c r="H15" s="283" t="n"/>
      <c r="I15" s="283" t="n"/>
      <c r="J15" s="284" t="n"/>
      <c r="K15" s="285" t="n"/>
      <c r="L15" s="168">
        <f>生产成本月结表!H11</f>
        <v/>
      </c>
      <c r="M15" s="66" t="inlineStr">
        <is>
          <t>材料接近0</t>
        </is>
      </c>
    </row>
    <row r="16" ht="22.5" customHeight="1" s="264">
      <c r="A16" s="76" t="inlineStr">
        <is>
          <t>总成本合计</t>
        </is>
      </c>
      <c r="B16" s="286">
        <f>销售成本!G12</f>
        <v/>
      </c>
      <c r="C16" s="286">
        <f>销售成本!G5</f>
        <v/>
      </c>
      <c r="D16" s="286">
        <f>销售成本!G6</f>
        <v/>
      </c>
      <c r="E16" s="286">
        <f>销售成本!G7</f>
        <v/>
      </c>
      <c r="F16" s="286">
        <f>销售成本!G8</f>
        <v/>
      </c>
      <c r="G16" s="286" t="n"/>
      <c r="H16" s="286" t="n"/>
      <c r="I16" s="287" t="n"/>
      <c r="J16" s="284" t="n"/>
      <c r="K16" s="285">
        <f>SUM(C16:I16)-B16</f>
        <v/>
      </c>
      <c r="L16" s="168">
        <f>生产成本月结表!F20</f>
        <v/>
      </c>
      <c r="M16" s="66" t="inlineStr">
        <is>
          <t>废料接近0</t>
        </is>
      </c>
      <c r="N16" s="57" t="inlineStr">
        <is>
          <t>废料太低（负数）降低加工费</t>
        </is>
      </c>
    </row>
    <row r="17" ht="22.5" customHeight="1" s="264">
      <c r="A17" s="76" t="inlineStr">
        <is>
          <t>单位</t>
        </is>
      </c>
      <c r="B17" s="286" t="n"/>
      <c r="C17" s="286" t="inlineStr">
        <is>
          <t>千克</t>
        </is>
      </c>
      <c r="D17" s="286" t="inlineStr">
        <is>
          <t>套</t>
        </is>
      </c>
      <c r="E17" s="286" t="inlineStr">
        <is>
          <t>付</t>
        </is>
      </c>
      <c r="F17" s="286" t="inlineStr">
        <is>
          <t>套</t>
        </is>
      </c>
      <c r="G17" s="286" t="n"/>
      <c r="H17" s="286" t="n"/>
      <c r="I17" s="286" t="n"/>
      <c r="J17" s="284" t="n"/>
      <c r="K17" s="285" t="n"/>
    </row>
    <row r="18" ht="22.5" customHeight="1" s="264">
      <c r="A18" s="76" t="inlineStr">
        <is>
          <t>产成品数量</t>
        </is>
      </c>
      <c r="B18" s="286">
        <f>销售成本!F12</f>
        <v/>
      </c>
      <c r="C18" s="286">
        <f>销售成本!F5</f>
        <v/>
      </c>
      <c r="D18" s="286">
        <f>销售成本!F6</f>
        <v/>
      </c>
      <c r="E18" s="286">
        <f>销售成本!F7</f>
        <v/>
      </c>
      <c r="F18" s="286">
        <f>销售成本!F8</f>
        <v/>
      </c>
      <c r="G18" s="286" t="n"/>
      <c r="H18" s="286" t="n"/>
      <c r="I18" s="287" t="n"/>
      <c r="J18" s="284" t="n"/>
      <c r="K18" s="285">
        <f>SUM(C18:I18)-B18</f>
        <v/>
      </c>
    </row>
    <row r="19" ht="22.5" customHeight="1" s="264">
      <c r="A19" s="76" t="inlineStr">
        <is>
          <t>平均单价</t>
        </is>
      </c>
      <c r="B19" s="288" t="n"/>
      <c r="C19" s="289">
        <f>C16/C18</f>
        <v/>
      </c>
      <c r="D19" s="289">
        <f>D16/D18</f>
        <v/>
      </c>
      <c r="E19" s="289">
        <f>E16/E18</f>
        <v/>
      </c>
      <c r="F19" s="289">
        <f>F16/F18</f>
        <v/>
      </c>
      <c r="G19" s="289" t="n"/>
      <c r="H19" s="289" t="n"/>
      <c r="I19" s="289" t="n"/>
    </row>
    <row r="20" ht="24" customHeight="1" s="264">
      <c r="A20" s="117" t="n"/>
      <c r="B20" s="117" t="n"/>
      <c r="C20" s="117" t="n"/>
      <c r="D20" s="117" t="n"/>
      <c r="E20" s="117" t="n"/>
      <c r="F20" s="117" t="n"/>
      <c r="G20" s="117" t="n"/>
      <c r="H20" s="117" t="n"/>
      <c r="I20" s="117" t="n"/>
    </row>
    <row r="21">
      <c r="A21" s="40" t="n"/>
      <c r="B21" s="40" t="n"/>
      <c r="C21" s="40" t="n"/>
      <c r="D21" s="40" t="n"/>
      <c r="E21" s="40" t="n"/>
    </row>
    <row r="22">
      <c r="A22" s="290" t="n"/>
      <c r="B22" s="291">
        <f>SUM(C22:F22)</f>
        <v/>
      </c>
      <c r="C22" s="291">
        <f>C5/材料!$J$5*1000</f>
        <v/>
      </c>
      <c r="D22" s="291">
        <f>D5/材料!$J$5*1000</f>
        <v/>
      </c>
      <c r="E22" s="291">
        <f>E5/材料!$J$5*1000</f>
        <v/>
      </c>
      <c r="F22" s="291" t="n"/>
      <c r="G22" s="291" t="n"/>
      <c r="H22" s="291" t="n"/>
      <c r="I22" s="291" t="n"/>
    </row>
    <row r="23">
      <c r="A23" s="40" t="n"/>
      <c r="B23" s="291" t="n"/>
      <c r="C23" s="291">
        <f>C22-C18</f>
        <v/>
      </c>
      <c r="D23" s="291">
        <f>D22/D18</f>
        <v/>
      </c>
      <c r="E23" s="291">
        <f>E22/E18</f>
        <v/>
      </c>
      <c r="F23" s="291" t="n"/>
      <c r="G23" s="291" t="n"/>
      <c r="H23" s="291" t="n"/>
      <c r="I23" s="291" t="n"/>
      <c r="J23" s="0" t="inlineStr">
        <is>
          <t>公斤</t>
        </is>
      </c>
    </row>
    <row r="24">
      <c r="B24" s="292">
        <f>测算表!G25*产品成本!B25</f>
        <v/>
      </c>
      <c r="D24" s="40" t="n"/>
      <c r="E24" s="40" t="n"/>
    </row>
    <row r="25">
      <c r="A25" s="40" t="inlineStr">
        <is>
          <t>料率</t>
        </is>
      </c>
      <c r="B25" s="293">
        <f>B5/B16</f>
        <v/>
      </c>
      <c r="C25" s="293" t="n">
        <v>0.8409341837152369</v>
      </c>
      <c r="E25" s="40" t="n"/>
    </row>
    <row r="26">
      <c r="A26" s="40" t="inlineStr">
        <is>
          <t>工资率</t>
        </is>
      </c>
      <c r="B26" s="293">
        <f>B7/B16</f>
        <v/>
      </c>
      <c r="C26" s="293" t="n">
        <v>0.06504699142882331</v>
      </c>
      <c r="D26" s="40" t="n"/>
      <c r="E26" s="40" t="n"/>
    </row>
    <row r="27">
      <c r="A27" s="40" t="inlineStr">
        <is>
          <t>动力率</t>
        </is>
      </c>
      <c r="B27" s="293">
        <f>B9/B16</f>
        <v/>
      </c>
      <c r="C27" s="293" t="n">
        <v>0.0157</v>
      </c>
      <c r="D27" s="40" t="n"/>
      <c r="E27" s="40" t="n"/>
    </row>
    <row r="28" ht="13.5" customHeight="1" s="264">
      <c r="A28" s="181" t="inlineStr">
        <is>
          <t>加工</t>
        </is>
      </c>
      <c r="B28" s="293">
        <f>B11/B16</f>
        <v/>
      </c>
      <c r="C28" s="293" t="n">
        <v>0.0777047887549073</v>
      </c>
      <c r="D28" s="40">
        <f>产品成本!B16*0.042</f>
        <v/>
      </c>
      <c r="E28" s="40" t="n"/>
    </row>
    <row r="29" ht="13.5" customHeight="1" s="264">
      <c r="A29" s="40" t="n"/>
      <c r="B29" s="40" t="n"/>
      <c r="C29" s="40" t="n"/>
      <c r="D29" s="40" t="n"/>
      <c r="E29" s="40" t="n"/>
    </row>
    <row r="30" ht="13.5" customHeight="1" s="264">
      <c r="A30" s="61" t="n"/>
      <c r="B30" s="294" t="n"/>
      <c r="C30" s="144" t="n"/>
      <c r="D30" s="40" t="n"/>
      <c r="E30" s="153" t="n"/>
    </row>
    <row r="31" ht="13.5" customHeight="1" s="264">
      <c r="A31" s="43" t="n"/>
      <c r="B31" s="295" t="n"/>
      <c r="C31" s="296" t="n"/>
      <c r="D31" s="40" t="n"/>
      <c r="E31" s="40" t="n"/>
    </row>
    <row r="32" ht="13.5" customHeight="1" s="264">
      <c r="A32" s="62" t="n"/>
      <c r="B32" s="62" t="n"/>
      <c r="C32" s="46" t="n"/>
      <c r="D32" s="40" t="n"/>
      <c r="E32" s="40" t="n"/>
    </row>
    <row r="33" ht="13.5" customHeight="1" s="264">
      <c r="A33" s="62" t="n"/>
      <c r="B33" s="62" t="n"/>
      <c r="C33" s="46" t="n"/>
      <c r="D33" s="40" t="n"/>
      <c r="E33" s="40" t="n"/>
    </row>
    <row r="34" ht="13.5" customHeight="1" s="264">
      <c r="A34" s="62" t="n"/>
      <c r="C34" s="46" t="n"/>
      <c r="D34" s="40" t="n"/>
      <c r="E34" s="40" t="n"/>
    </row>
    <row r="35" ht="13.5" customHeight="1" s="264">
      <c r="A35" s="47" t="n"/>
      <c r="B35" s="48" t="n"/>
      <c r="C35" s="48" t="n"/>
      <c r="D35" s="40" t="n"/>
      <c r="E35" s="40" t="n"/>
    </row>
    <row r="36" ht="13.5" customHeight="1" s="264">
      <c r="A36" s="49" t="n"/>
      <c r="B36" s="40" t="n"/>
      <c r="C36" s="297" t="n"/>
      <c r="D36" s="40" t="n"/>
      <c r="E36" s="40" t="n"/>
    </row>
    <row r="37" ht="13.5" customHeight="1" s="264">
      <c r="A37" s="51" t="n"/>
      <c r="B37" s="49" t="n"/>
      <c r="C37" s="297" t="n"/>
      <c r="D37" s="40" t="n"/>
      <c r="E37" s="40" t="n"/>
    </row>
    <row r="38" ht="13.5" customHeight="1" s="264">
      <c r="A38" s="40" t="n"/>
      <c r="B38" s="49" t="n"/>
      <c r="C38" s="297" t="n"/>
      <c r="D38" s="40" t="n"/>
      <c r="E38" s="40" t="n"/>
    </row>
    <row r="39" ht="13.5" customHeight="1" s="264">
      <c r="A39" s="40" t="n"/>
      <c r="B39" s="49" t="n"/>
      <c r="C39" s="297" t="n"/>
      <c r="D39" s="40" t="n"/>
      <c r="E39" s="40" t="n"/>
    </row>
    <row r="40" ht="13.5" customHeight="1" s="264">
      <c r="A40" s="40" t="n"/>
      <c r="B40" s="49" t="n"/>
      <c r="C40" s="297" t="n"/>
      <c r="D40" s="40" t="n"/>
      <c r="E40" s="40" t="n"/>
    </row>
    <row r="41" ht="13.5" customHeight="1" s="264">
      <c r="A41" s="40" t="n"/>
      <c r="B41" s="49" t="n"/>
      <c r="C41" s="297" t="n"/>
      <c r="D41" s="40" t="n"/>
      <c r="E41" s="40" t="n"/>
    </row>
    <row r="42" ht="13.5" customHeight="1" s="264">
      <c r="A42" s="40" t="n"/>
      <c r="B42" s="49" t="n"/>
      <c r="C42" s="297" t="n"/>
      <c r="D42" s="40" t="n"/>
      <c r="E42" s="40" t="n"/>
    </row>
    <row r="43" ht="13.5" customHeight="1" s="264">
      <c r="A43" s="40" t="n"/>
      <c r="B43" s="49" t="n"/>
      <c r="C43" s="297" t="n"/>
      <c r="D43" s="40" t="n"/>
      <c r="E43" s="40" t="n"/>
    </row>
    <row r="44" ht="13.5" customHeight="1" s="264">
      <c r="A44" s="40" t="n"/>
      <c r="B44" s="49" t="n"/>
      <c r="C44" s="297" t="n"/>
      <c r="D44" s="40" t="n"/>
      <c r="E44" s="40" t="n"/>
    </row>
    <row r="45" ht="13.5" customHeight="1" s="264">
      <c r="A45" s="40" t="n"/>
      <c r="B45" s="49" t="n"/>
      <c r="C45" s="297" t="n"/>
      <c r="D45" s="40" t="n"/>
      <c r="E45" s="40" t="n"/>
    </row>
    <row r="46" ht="13.5" customHeight="1" s="264">
      <c r="A46" s="40" t="n"/>
      <c r="B46" s="49" t="n"/>
      <c r="C46" s="297" t="n"/>
      <c r="D46" s="40" t="n"/>
      <c r="E46" s="40" t="n"/>
    </row>
    <row r="47" ht="13.5" customHeight="1" s="264">
      <c r="A47" s="40" t="n"/>
      <c r="B47" s="40" t="n"/>
      <c r="C47" s="40" t="n"/>
      <c r="D47" s="40" t="n"/>
      <c r="E47" s="40" t="n"/>
    </row>
    <row r="48" ht="13.5" customHeight="1" s="264">
      <c r="A48" s="52" t="n"/>
      <c r="B48" s="40" t="n"/>
      <c r="C48" s="40" t="n"/>
      <c r="D48" s="40" t="n"/>
      <c r="E48" s="40" t="n"/>
    </row>
    <row r="49" ht="13.5" customHeight="1" s="264">
      <c r="A49" s="40" t="n"/>
      <c r="B49" s="40" t="n"/>
      <c r="C49" s="40" t="n"/>
      <c r="D49" s="40" t="n"/>
      <c r="E49" s="40" t="n"/>
    </row>
    <row r="50" ht="13.5" customHeight="1" s="264">
      <c r="A50" s="40" t="n"/>
      <c r="B50" s="40" t="n"/>
      <c r="C50" s="40" t="n"/>
      <c r="D50" s="40" t="n"/>
      <c r="E50" s="40" t="n"/>
    </row>
    <row r="51" ht="13.5" customHeight="1" s="264">
      <c r="A51" s="40" t="n"/>
      <c r="B51" s="40" t="n"/>
      <c r="C51" s="40" t="n"/>
      <c r="D51" s="40" t="n"/>
      <c r="E51" s="40" t="n"/>
    </row>
    <row r="52" ht="13.5" customHeight="1" s="264">
      <c r="A52" s="40" t="n"/>
      <c r="B52" s="40" t="n"/>
      <c r="C52" s="40" t="n"/>
      <c r="D52" s="40" t="n"/>
      <c r="E52" s="40" t="n"/>
    </row>
    <row r="53" ht="13.5" customHeight="1" s="264">
      <c r="A53" s="40" t="n"/>
      <c r="B53" s="40" t="n"/>
      <c r="C53" s="40" t="n"/>
      <c r="D53" s="40" t="n"/>
      <c r="E53" s="40" t="n"/>
    </row>
    <row r="54" ht="13.5" customHeight="1" s="264">
      <c r="A54" s="40" t="n"/>
      <c r="B54" s="40" t="n"/>
      <c r="C54" s="40" t="n"/>
      <c r="D54" s="40" t="n"/>
      <c r="E54" s="40" t="n"/>
    </row>
    <row r="55" ht="13.5" customHeight="1" s="264">
      <c r="A55" s="40" t="n"/>
      <c r="B55" s="40" t="n"/>
      <c r="C55" s="40" t="n"/>
      <c r="D55" s="40" t="n"/>
      <c r="E55" s="40" t="n"/>
    </row>
    <row r="56" ht="13.5" customHeight="1" s="264">
      <c r="A56" s="40" t="n"/>
      <c r="B56" s="40" t="n"/>
      <c r="C56" s="40" t="n"/>
      <c r="D56" s="40" t="n"/>
      <c r="E56" s="40" t="n"/>
    </row>
    <row r="57" ht="13.5" customHeight="1" s="264">
      <c r="A57" s="40" t="n"/>
      <c r="B57" s="40" t="n"/>
      <c r="C57" s="40" t="n"/>
      <c r="D57" s="40" t="n"/>
      <c r="E57" s="40" t="n"/>
    </row>
    <row r="58" ht="13.5" customHeight="1" s="264">
      <c r="A58" s="40" t="n"/>
      <c r="B58" s="40" t="n"/>
      <c r="C58" s="40" t="n"/>
      <c r="D58" s="40" t="n"/>
      <c r="E58" s="40" t="n"/>
    </row>
    <row r="59" ht="13.5" customHeight="1" s="264">
      <c r="A59" s="40" t="n"/>
      <c r="B59" s="40" t="n"/>
      <c r="C59" s="40" t="n"/>
      <c r="D59" s="40" t="n"/>
      <c r="E59" s="40" t="n"/>
    </row>
    <row r="60" ht="13.5" customHeight="1" s="264">
      <c r="A60" s="40" t="n"/>
      <c r="B60" s="40" t="n"/>
      <c r="C60" s="40" t="n"/>
      <c r="D60" s="40" t="n"/>
      <c r="E60" s="40" t="n"/>
    </row>
    <row r="61" ht="13.5" customHeight="1" s="264">
      <c r="A61" s="40" t="n"/>
      <c r="B61" s="40" t="n"/>
      <c r="C61" s="40" t="n"/>
      <c r="D61" s="40" t="n"/>
      <c r="E61" s="40" t="n"/>
    </row>
    <row r="62" ht="13.5" customHeight="1" s="264">
      <c r="A62" s="40" t="n"/>
      <c r="B62" s="40" t="n"/>
      <c r="C62" s="40" t="n"/>
      <c r="D62" s="40" t="n"/>
      <c r="E62" s="40" t="n"/>
    </row>
    <row r="63" ht="13.5" customHeight="1" s="264">
      <c r="A63" s="40" t="n"/>
      <c r="B63" s="40" t="n"/>
      <c r="C63" s="40" t="n"/>
      <c r="D63" s="40" t="n"/>
      <c r="E63" s="40" t="n"/>
    </row>
    <row r="64" ht="13.5" customHeight="1" s="264">
      <c r="A64" s="40" t="n"/>
      <c r="B64" s="40" t="n"/>
      <c r="C64" s="40" t="n"/>
      <c r="D64" s="40" t="n"/>
      <c r="E64" s="40" t="n"/>
    </row>
  </sheetData>
  <mergeCells count="2">
    <mergeCell ref="A1:I1"/>
    <mergeCell ref="A2:I2"/>
  </mergeCells>
  <pageMargins left="0.3937007874015748" right="0.3937007874015748" top="0.3937007874015748" bottom="0.3937007874015748" header="0.1968503937007874" footer="0.1968503937007874"/>
  <pageSetup orientation="landscape" paperSize="11" scale="8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28"/>
  <sheetViews>
    <sheetView zoomScale="85" zoomScaleNormal="85" workbookViewId="0">
      <selection activeCell="I5" sqref="I5"/>
    </sheetView>
  </sheetViews>
  <sheetFormatPr baseColWidth="8" defaultColWidth="9" defaultRowHeight="15.6"/>
  <cols>
    <col width="13.8984375" bestFit="1" customWidth="1" style="298" min="1" max="1"/>
    <col width="7.5" bestFit="1" customWidth="1" style="298" min="2" max="2"/>
    <col width="12.296875" bestFit="1" customWidth="1" style="298" min="3" max="3"/>
    <col width="10.09765625" bestFit="1" customWidth="1" style="298" min="4" max="4"/>
    <col width="12.296875" bestFit="1" customWidth="1" style="298" min="5" max="5"/>
    <col width="12.296875" customWidth="1" style="298" min="6" max="6"/>
    <col width="10.09765625" bestFit="1" customWidth="1" style="298" min="7" max="7"/>
    <col width="12.296875" bestFit="1" customWidth="1" style="298" min="8" max="8"/>
    <col width="13.8984375" bestFit="1" customWidth="1" style="298" min="9" max="9"/>
    <col width="10.09765625" bestFit="1" customWidth="1" style="298" min="10" max="10"/>
    <col width="13.5" bestFit="1" customWidth="1" style="298" min="11" max="11"/>
    <col width="12.296875" bestFit="1" customWidth="1" style="298" min="12" max="12"/>
    <col width="10.09765625" bestFit="1" customWidth="1" style="298" min="13" max="13"/>
    <col width="12.296875" bestFit="1" customWidth="1" style="298" min="14" max="14"/>
    <col width="6.5" bestFit="1" customWidth="1" style="298" min="15" max="15"/>
    <col width="1.69921875" customWidth="1" style="298" min="16" max="16"/>
    <col width="12.09765625" bestFit="1" customWidth="1" style="298" min="17" max="17"/>
    <col width="10" bestFit="1" customWidth="1" style="298" min="18" max="18"/>
    <col width="11.69921875" bestFit="1" customWidth="1" style="298" min="19" max="19"/>
    <col width="9.59765625" bestFit="1" customWidth="1" style="298" min="20" max="20"/>
    <col width="12.69921875" bestFit="1" customWidth="1" style="298" min="21" max="21"/>
    <col width="11.59765625" bestFit="1" customWidth="1" style="298" min="22" max="22"/>
    <col width="6.8984375" bestFit="1" customWidth="1" style="298" min="23" max="23"/>
    <col width="9" customWidth="1" style="298" min="24" max="16384"/>
  </cols>
  <sheetData>
    <row r="1" ht="45" customHeight="1" s="264">
      <c r="A1" s="299" t="inlineStr">
        <is>
          <t>原 材 料 进 销 存 月 结 表</t>
        </is>
      </c>
      <c r="S1" s="298">
        <f>生产成本月结表!J4</f>
        <v/>
      </c>
    </row>
    <row r="2" ht="20.1" customHeight="1" s="264">
      <c r="A2" s="300" t="inlineStr">
        <is>
          <t xml:space="preserve"> 编制单位：揭阳市揭东区磐东洪运来机械厂        　　　　      2025 年 12 月份                                      单位：人民币元</t>
        </is>
      </c>
      <c r="B2" s="265" t="n"/>
      <c r="C2" s="265" t="n"/>
      <c r="D2" s="265" t="n"/>
      <c r="E2" s="265" t="n"/>
      <c r="F2" s="265" t="n"/>
      <c r="G2" s="265" t="n"/>
      <c r="H2" s="265" t="n"/>
      <c r="I2" s="265" t="n"/>
      <c r="J2" s="265" t="n"/>
      <c r="K2" s="265" t="n"/>
      <c r="L2" s="265" t="n"/>
      <c r="M2" s="265" t="n"/>
      <c r="N2" s="265" t="n"/>
      <c r="O2" s="265" t="n"/>
      <c r="S2" s="298">
        <f>生产成本月结表!J5</f>
        <v/>
      </c>
    </row>
    <row r="3" ht="22.5" customHeight="1" s="264">
      <c r="A3" s="301" t="inlineStr">
        <is>
          <t>品名</t>
        </is>
      </c>
      <c r="B3" s="301" t="inlineStr">
        <is>
          <t>单位</t>
        </is>
      </c>
      <c r="C3" s="301" t="inlineStr">
        <is>
          <t>上月结存</t>
        </is>
      </c>
      <c r="D3" s="267" t="n"/>
      <c r="E3" s="266" t="n"/>
      <c r="F3" s="301" t="inlineStr">
        <is>
          <t>本月进仓数</t>
        </is>
      </c>
      <c r="G3" s="267" t="n"/>
      <c r="H3" s="266" t="n"/>
      <c r="I3" s="301" t="inlineStr">
        <is>
          <t>本月发出数</t>
        </is>
      </c>
      <c r="J3" s="267" t="n"/>
      <c r="K3" s="266" t="n"/>
      <c r="L3" s="301" t="inlineStr">
        <is>
          <t>本月结余</t>
        </is>
      </c>
      <c r="M3" s="267" t="n"/>
      <c r="N3" s="266" t="n"/>
      <c r="O3" s="301" t="inlineStr">
        <is>
          <t>备注</t>
        </is>
      </c>
      <c r="S3" s="298">
        <f>生产成本月结表!F20</f>
        <v/>
      </c>
    </row>
    <row r="4" ht="22.5" customHeight="1" s="264">
      <c r="A4" s="268" t="n"/>
      <c r="B4" s="268" t="n"/>
      <c r="C4" s="301" t="inlineStr">
        <is>
          <t>数量</t>
        </is>
      </c>
      <c r="D4" s="301" t="inlineStr">
        <is>
          <t>单价</t>
        </is>
      </c>
      <c r="E4" s="301" t="inlineStr">
        <is>
          <t>金额</t>
        </is>
      </c>
      <c r="F4" s="301" t="inlineStr">
        <is>
          <t>数量</t>
        </is>
      </c>
      <c r="G4" s="301" t="inlineStr">
        <is>
          <t>单价</t>
        </is>
      </c>
      <c r="H4" s="301" t="inlineStr">
        <is>
          <t>金额</t>
        </is>
      </c>
      <c r="I4" s="301" t="inlineStr">
        <is>
          <t>数量</t>
        </is>
      </c>
      <c r="J4" s="301" t="inlineStr">
        <is>
          <t>单价</t>
        </is>
      </c>
      <c r="K4" s="301" t="inlineStr">
        <is>
          <t>金额</t>
        </is>
      </c>
      <c r="L4" s="301" t="inlineStr">
        <is>
          <t>数量</t>
        </is>
      </c>
      <c r="M4" s="301" t="inlineStr">
        <is>
          <t>单价</t>
        </is>
      </c>
      <c r="N4" s="301" t="inlineStr">
        <is>
          <t>金额</t>
        </is>
      </c>
      <c r="O4" s="268" t="n"/>
    </row>
    <row r="5" ht="39" customHeight="1" s="264">
      <c r="A5" s="301" t="inlineStr">
        <is>
          <t>带钢</t>
        </is>
      </c>
      <c r="B5" s="301" t="inlineStr">
        <is>
          <t>吨</t>
        </is>
      </c>
      <c r="C5" s="302" t="n"/>
      <c r="D5" s="303" t="n"/>
      <c r="E5" s="303" t="n"/>
      <c r="F5" s="302">
        <f>14.2+18.23</f>
        <v/>
      </c>
      <c r="G5" s="303">
        <f>H5/F5</f>
        <v/>
      </c>
      <c r="H5" s="303">
        <f>49262.83+63242.48</f>
        <v/>
      </c>
      <c r="I5" s="302" t="n">
        <v>32.43</v>
      </c>
      <c r="J5" s="304">
        <f>(E5+H5)/(C5+F5)</f>
        <v/>
      </c>
      <c r="K5" s="303">
        <f>I5*J5</f>
        <v/>
      </c>
      <c r="L5" s="302">
        <f>C5+F5-I5</f>
        <v/>
      </c>
      <c r="M5" s="303">
        <f>N5/L5</f>
        <v/>
      </c>
      <c r="N5" s="303">
        <f>E5+H5-K5</f>
        <v/>
      </c>
      <c r="O5" s="305" t="n"/>
      <c r="Q5" s="306">
        <f>91.247-91.247</f>
        <v/>
      </c>
      <c r="R5" s="298">
        <f>S5/Q5</f>
        <v/>
      </c>
      <c r="S5" s="298">
        <f>380000-380000</f>
        <v/>
      </c>
      <c r="T5" s="306" t="n"/>
    </row>
    <row r="6" ht="39" customHeight="1" s="264">
      <c r="A6" s="307" t="inlineStr">
        <is>
          <t>冷轧带钢</t>
        </is>
      </c>
      <c r="B6" s="307" t="inlineStr">
        <is>
          <t>吨</t>
        </is>
      </c>
      <c r="C6" s="302" t="n"/>
      <c r="D6" s="303" t="n"/>
      <c r="E6" s="303" t="n"/>
      <c r="F6" s="302">
        <f>153.837+44.435</f>
        <v/>
      </c>
      <c r="G6" s="303">
        <f>H6/F6</f>
        <v/>
      </c>
      <c r="H6" s="303">
        <f>485337.17+137632.74</f>
        <v/>
      </c>
      <c r="I6" s="302" t="n">
        <v>119.5</v>
      </c>
      <c r="J6" s="304">
        <f>(E6+H6)/(C6+F6)</f>
        <v/>
      </c>
      <c r="K6" s="303">
        <f>I6*J6</f>
        <v/>
      </c>
      <c r="L6" s="302">
        <f>C6+F6-I6</f>
        <v/>
      </c>
      <c r="M6" s="303">
        <f>N6/L6</f>
        <v/>
      </c>
      <c r="N6" s="303">
        <f>E6+H6-K6</f>
        <v/>
      </c>
      <c r="O6" s="301" t="n"/>
      <c r="U6" s="0">
        <f>S1/J6</f>
        <v/>
      </c>
      <c r="V6" s="0" t="n"/>
      <c r="W6" s="0" t="n"/>
      <c r="X6" s="308" t="n"/>
      <c r="Y6" s="0" t="n"/>
      <c r="Z6" s="0" t="n"/>
      <c r="AA6" s="0" t="n"/>
    </row>
    <row r="7" ht="39" customHeight="1" s="264">
      <c r="A7" s="307" t="inlineStr">
        <is>
          <t>冷轧卷板</t>
        </is>
      </c>
      <c r="B7" s="307" t="inlineStr">
        <is>
          <t>吨</t>
        </is>
      </c>
      <c r="C7" s="302" t="n">
        <v>77.517</v>
      </c>
      <c r="D7" s="303">
        <f>E7/C7</f>
        <v/>
      </c>
      <c r="E7" s="303" t="n">
        <v>245865.33</v>
      </c>
      <c r="F7" s="302" t="n"/>
      <c r="G7" s="303" t="n"/>
      <c r="H7" s="303" t="n"/>
      <c r="I7" s="302">
        <f>C7</f>
        <v/>
      </c>
      <c r="J7" s="304">
        <f>(E7+H7)/(C7+F7)</f>
        <v/>
      </c>
      <c r="K7" s="303">
        <f>I7*J7</f>
        <v/>
      </c>
      <c r="L7" s="302">
        <f>C7+F7-I7</f>
        <v/>
      </c>
      <c r="M7" s="303">
        <f>N7/L7</f>
        <v/>
      </c>
      <c r="N7" s="303">
        <f>E7+H7-K7</f>
        <v/>
      </c>
      <c r="O7" s="305" t="n"/>
      <c r="Q7" s="309" t="n"/>
    </row>
    <row r="8" ht="39" customHeight="1" s="264">
      <c r="A8" s="301" t="inlineStr">
        <is>
          <t>钢珠</t>
        </is>
      </c>
      <c r="B8" s="301" t="inlineStr">
        <is>
          <t>千克</t>
        </is>
      </c>
      <c r="C8" s="302" t="n">
        <v>172.1949999999997</v>
      </c>
      <c r="D8" s="303">
        <f>E8/C8</f>
        <v/>
      </c>
      <c r="E8" s="303" t="n">
        <v>995.3</v>
      </c>
      <c r="F8" s="302">
        <f>6153.231</f>
        <v/>
      </c>
      <c r="G8" s="303">
        <f>H8/F8</f>
        <v/>
      </c>
      <c r="H8" s="303">
        <f>35394.69</f>
        <v/>
      </c>
      <c r="I8" s="302" t="n">
        <v>1610</v>
      </c>
      <c r="J8" s="304">
        <f>(E8+H8)/(C8+F8)</f>
        <v/>
      </c>
      <c r="K8" s="310">
        <f>I8*J8</f>
        <v/>
      </c>
      <c r="L8" s="302">
        <f>C8+F8-I8</f>
        <v/>
      </c>
      <c r="M8" s="303">
        <f>N8/L8</f>
        <v/>
      </c>
      <c r="N8" s="303">
        <f>E8+H8-K8</f>
        <v/>
      </c>
      <c r="O8" s="311" t="n"/>
      <c r="T8" s="308" t="n">
        <v>37.5</v>
      </c>
      <c r="U8" s="0" t="n"/>
      <c r="V8" s="0" t="n"/>
      <c r="W8" s="0" t="n"/>
      <c r="Y8" s="0" t="n"/>
      <c r="Z8" s="0" t="n"/>
      <c r="AA8" s="0" t="n"/>
    </row>
    <row r="9" ht="39" customHeight="1" s="264">
      <c r="A9" s="312" t="inlineStr">
        <is>
          <t>滑轨塑料配件</t>
        </is>
      </c>
      <c r="B9" s="312" t="inlineStr">
        <is>
          <t>套</t>
        </is>
      </c>
      <c r="C9" s="302" t="n">
        <v>47181</v>
      </c>
      <c r="D9" s="303">
        <f>E9/C9</f>
        <v/>
      </c>
      <c r="E9" s="303" t="n">
        <v>22964.38</v>
      </c>
      <c r="F9" s="302" t="n">
        <v>45454</v>
      </c>
      <c r="G9" s="303">
        <f>H9/F9</f>
        <v/>
      </c>
      <c r="H9" s="303" t="n">
        <v>22123.89</v>
      </c>
      <c r="I9" s="302" t="n">
        <v>31720</v>
      </c>
      <c r="J9" s="304">
        <f>(E9+H9)/(C9+F9)</f>
        <v/>
      </c>
      <c r="K9" s="310">
        <f>I9*J9</f>
        <v/>
      </c>
      <c r="L9" s="302">
        <f>C9+F9-I9</f>
        <v/>
      </c>
      <c r="M9" s="303">
        <f>N9/L9</f>
        <v/>
      </c>
      <c r="N9" s="303">
        <f>E9+H9-K9</f>
        <v/>
      </c>
      <c r="O9" s="313" t="n"/>
      <c r="R9" s="314" t="inlineStr">
        <is>
          <t>物料</t>
        </is>
      </c>
      <c r="S9" s="315" t="n"/>
      <c r="T9" s="308" t="n"/>
      <c r="U9" s="171">
        <f>V9/J8</f>
        <v/>
      </c>
      <c r="V9" s="155">
        <f>产品成本!B16*0.05</f>
        <v/>
      </c>
      <c r="W9" s="0" t="n"/>
      <c r="Y9" s="0" t="n"/>
      <c r="Z9" s="0" t="n"/>
      <c r="AA9" s="0" t="n"/>
    </row>
    <row r="10" ht="39" customHeight="1" s="264">
      <c r="A10" s="307" t="inlineStr">
        <is>
          <t>润滑脂</t>
        </is>
      </c>
      <c r="B10" s="307" t="inlineStr">
        <is>
          <t>桶</t>
        </is>
      </c>
      <c r="C10" s="302" t="n"/>
      <c r="D10" s="303" t="n"/>
      <c r="E10" s="303" t="n"/>
      <c r="F10" s="302" t="n"/>
      <c r="G10" s="303" t="n"/>
      <c r="H10" s="303" t="n"/>
      <c r="I10" s="302" t="n"/>
      <c r="J10" s="304" t="n"/>
      <c r="K10" s="310" t="n"/>
      <c r="L10" s="302" t="n"/>
      <c r="M10" s="303" t="n"/>
      <c r="N10" s="303" t="n"/>
      <c r="O10" s="313" t="n"/>
      <c r="Q10" s="316" t="n"/>
      <c r="U10" s="171">
        <f>V10/J9</f>
        <v/>
      </c>
      <c r="V10" s="155">
        <f>产品成本!B16*0.03</f>
        <v/>
      </c>
    </row>
    <row r="11" ht="39" customHeight="1" s="264">
      <c r="A11" s="301" t="inlineStr">
        <is>
          <t>纸箱</t>
        </is>
      </c>
      <c r="B11" s="301" t="inlineStr">
        <is>
          <t>个</t>
        </is>
      </c>
      <c r="C11" s="302" t="n">
        <v>2263</v>
      </c>
      <c r="D11" s="303">
        <f>E11/C11</f>
        <v/>
      </c>
      <c r="E11" s="303" t="n">
        <v>6007.77</v>
      </c>
      <c r="F11" s="303" t="n">
        <v>6532</v>
      </c>
      <c r="G11" s="303">
        <f>H11/F11</f>
        <v/>
      </c>
      <c r="H11" s="303" t="n">
        <v>17341.59</v>
      </c>
      <c r="I11" s="302" t="n">
        <v>3500</v>
      </c>
      <c r="J11" s="304">
        <f>(E11+H11)/(C11+F11)</f>
        <v/>
      </c>
      <c r="K11" s="303">
        <f>I11*J11</f>
        <v/>
      </c>
      <c r="L11" s="302">
        <f>C11+F11-I11</f>
        <v/>
      </c>
      <c r="M11" s="303">
        <f>N11/L11</f>
        <v/>
      </c>
      <c r="N11" s="303">
        <f>E11+H11-K11</f>
        <v/>
      </c>
      <c r="O11" s="311" t="n"/>
      <c r="Q11" s="316" t="n"/>
      <c r="U11" s="171">
        <f>V11/J10</f>
        <v/>
      </c>
      <c r="V11" s="298">
        <f>产品成本!B16*0.02</f>
        <v/>
      </c>
    </row>
    <row r="12" ht="39" customHeight="1" s="264">
      <c r="A12" s="307" t="inlineStr">
        <is>
          <t>卡板托盘</t>
        </is>
      </c>
      <c r="B12" s="307" t="inlineStr">
        <is>
          <t>套</t>
        </is>
      </c>
      <c r="C12" s="317" t="n"/>
      <c r="D12" s="303" t="n"/>
      <c r="E12" s="303" t="n"/>
      <c r="F12" s="303" t="n"/>
      <c r="G12" s="303" t="n"/>
      <c r="H12" s="303" t="n"/>
      <c r="I12" s="302" t="n"/>
      <c r="J12" s="304" t="n"/>
      <c r="K12" s="303" t="n"/>
      <c r="L12" s="302" t="n"/>
      <c r="M12" s="303" t="n"/>
      <c r="N12" s="303" t="n"/>
      <c r="O12" s="311" t="n"/>
      <c r="Q12" s="316" t="n"/>
    </row>
    <row r="13" ht="39" customHeight="1" s="264">
      <c r="A13" s="307" t="inlineStr">
        <is>
          <t>胶带</t>
        </is>
      </c>
      <c r="B13" s="307" t="inlineStr">
        <is>
          <t>平方米</t>
        </is>
      </c>
      <c r="C13" s="301" t="n"/>
      <c r="D13" s="301" t="n"/>
      <c r="E13" s="303" t="n"/>
      <c r="F13" s="302" t="n"/>
      <c r="G13" s="303" t="n"/>
      <c r="H13" s="303" t="n"/>
      <c r="I13" s="302" t="n"/>
      <c r="J13" s="304" t="n"/>
      <c r="K13" s="303" t="n"/>
      <c r="L13" s="302" t="n"/>
      <c r="M13" s="303" t="n"/>
      <c r="N13" s="303" t="n"/>
      <c r="O13" s="313" t="n"/>
      <c r="T13" s="308" t="n"/>
      <c r="U13" s="0" t="n"/>
      <c r="V13" s="0" t="n"/>
      <c r="W13" s="0" t="n"/>
      <c r="Y13" s="0" t="n"/>
      <c r="Z13" s="0" t="n"/>
      <c r="AA13" s="0" t="n"/>
    </row>
    <row r="14" ht="39" customHeight="1" s="264">
      <c r="A14" s="307" t="inlineStr">
        <is>
          <t>废料</t>
        </is>
      </c>
      <c r="B14" s="307" t="inlineStr">
        <is>
          <t>吨</t>
        </is>
      </c>
      <c r="C14" s="301" t="n"/>
      <c r="D14" s="301" t="n"/>
      <c r="E14" s="303" t="n"/>
      <c r="F14" s="302" t="n">
        <v>87.01131499999997</v>
      </c>
      <c r="G14" s="303">
        <f>H14/F14</f>
        <v/>
      </c>
      <c r="H14" s="303">
        <f>210408.76/1.13*0.95502022</f>
        <v/>
      </c>
      <c r="I14" s="302" t="n"/>
      <c r="J14" s="304" t="n"/>
      <c r="K14" s="303" t="n"/>
      <c r="L14" s="302">
        <f>C14+F14-I14</f>
        <v/>
      </c>
      <c r="M14" s="303">
        <f>N14/L14</f>
        <v/>
      </c>
      <c r="N14" s="303">
        <f>E14+H14-K14</f>
        <v/>
      </c>
      <c r="O14" s="313" t="n"/>
      <c r="T14" s="308" t="n"/>
      <c r="U14" s="0" t="n"/>
      <c r="V14" s="0" t="n"/>
      <c r="W14" s="0" t="n"/>
      <c r="Y14" s="0" t="n"/>
      <c r="Z14" s="0" t="n"/>
      <c r="AA14" s="0" t="n"/>
    </row>
    <row r="15" ht="39" customHeight="1" s="264">
      <c r="A15" s="318" t="n"/>
      <c r="B15" s="307" t="n"/>
      <c r="C15" s="302" t="n"/>
      <c r="D15" s="303" t="n"/>
      <c r="E15" s="303" t="n"/>
      <c r="F15" s="302" t="n"/>
      <c r="G15" s="303" t="n"/>
      <c r="H15" s="303" t="n"/>
      <c r="I15" s="302" t="n"/>
      <c r="J15" s="304" t="n"/>
      <c r="K15" s="303" t="n"/>
      <c r="L15" s="302" t="n"/>
      <c r="M15" s="303" t="n"/>
      <c r="N15" s="303" t="n"/>
      <c r="O15" s="313" t="n"/>
      <c r="T15" s="308" t="n"/>
      <c r="U15" s="0" t="n"/>
      <c r="V15" s="0" t="n"/>
      <c r="W15" s="0" t="n"/>
      <c r="Y15" s="0" t="n"/>
      <c r="Z15" s="0" t="n"/>
      <c r="AA15" s="0" t="n"/>
    </row>
    <row r="16" ht="27.75" customHeight="1" s="264">
      <c r="A16" s="319" t="inlineStr">
        <is>
          <t>合    计</t>
        </is>
      </c>
      <c r="B16" s="301" t="n"/>
      <c r="C16" s="301">
        <f>SUM(C5:C15)</f>
        <v/>
      </c>
      <c r="D16" s="301" t="n"/>
      <c r="E16" s="301">
        <f>SUM(E5:E15)</f>
        <v/>
      </c>
      <c r="F16" s="317">
        <f>SUM(F5:F15)</f>
        <v/>
      </c>
      <c r="G16" s="301" t="n"/>
      <c r="H16" s="301">
        <f>SUM(H5:H15)</f>
        <v/>
      </c>
      <c r="I16" s="317">
        <f>SUM(I5:I15)</f>
        <v/>
      </c>
      <c r="J16" s="301" t="n"/>
      <c r="K16" s="301">
        <f>SUM(K5:K15)</f>
        <v/>
      </c>
      <c r="L16" s="317">
        <f>SUM(L5:L15)</f>
        <v/>
      </c>
      <c r="M16" s="301" t="n"/>
      <c r="N16" s="301">
        <f>SUM(N5:N15)</f>
        <v/>
      </c>
      <c r="O16" s="301">
        <f>S5</f>
        <v/>
      </c>
    </row>
    <row r="17" ht="14.25" customHeight="1" s="264">
      <c r="A17" s="320" t="n"/>
      <c r="B17" s="321" t="n"/>
      <c r="C17" s="321" t="n"/>
      <c r="D17" s="321" t="n"/>
      <c r="E17" s="321" t="n"/>
      <c r="F17" s="321" t="n"/>
      <c r="G17" s="321" t="n"/>
      <c r="H17" s="321" t="n"/>
      <c r="I17" s="321" t="n"/>
      <c r="J17" s="322">
        <f>SUM(K15:K15)/(SUM(I15:I15)+(I8+I6)/1000)</f>
        <v/>
      </c>
      <c r="K17" s="321" t="n"/>
      <c r="L17" s="321" t="n"/>
      <c r="M17" s="321" t="n"/>
      <c r="N17" s="321" t="n"/>
      <c r="O17" s="321" t="n"/>
    </row>
    <row r="18">
      <c r="A18" s="323" t="n"/>
      <c r="B18" s="323" t="n"/>
      <c r="C18" s="323" t="n"/>
      <c r="D18" s="323" t="n"/>
      <c r="E18" s="323" t="n"/>
      <c r="F18" s="323" t="n">
        <v>58369.933</v>
      </c>
      <c r="G18" s="323" t="n"/>
      <c r="H18" s="323" t="n">
        <v>810335.3899999999</v>
      </c>
      <c r="I18" s="323" t="n"/>
      <c r="J18" s="323" t="n"/>
      <c r="K18" s="323" t="n"/>
      <c r="L18" s="323" t="n"/>
      <c r="M18" s="323" t="n"/>
      <c r="N18" s="323" t="n"/>
      <c r="O18" s="323" t="n"/>
    </row>
    <row r="19">
      <c r="A19" s="324" t="n"/>
      <c r="B19" s="324" t="n"/>
      <c r="C19" s="324" t="n"/>
      <c r="D19" s="324" t="n"/>
      <c r="E19" s="324" t="n"/>
      <c r="F19" s="324">
        <f>F18-F16</f>
        <v/>
      </c>
      <c r="G19" s="324" t="n"/>
      <c r="H19" s="324">
        <f>H18-H16</f>
        <v/>
      </c>
      <c r="I19" s="324" t="n"/>
      <c r="J19" s="325" t="n"/>
      <c r="K19" s="324" t="n"/>
      <c r="L19" s="324" t="n"/>
      <c r="M19" s="324" t="n"/>
      <c r="N19" s="324" t="n"/>
    </row>
    <row r="20">
      <c r="A20" s="324" t="n"/>
      <c r="B20" s="324" t="n"/>
      <c r="C20" s="324" t="n"/>
      <c r="D20" s="324" t="n"/>
      <c r="E20" s="324" t="n"/>
      <c r="F20" s="324" t="n"/>
      <c r="G20" s="324" t="n"/>
      <c r="H20" s="324" t="n"/>
      <c r="I20" s="324">
        <f>SUM(I5:I12)</f>
        <v/>
      </c>
      <c r="J20" s="325">
        <f>K20/I20</f>
        <v/>
      </c>
      <c r="K20" s="324">
        <f>SUM(K5:K12)</f>
        <v/>
      </c>
      <c r="L20" s="324" t="n"/>
      <c r="M20" s="324" t="n"/>
      <c r="N20" s="324">
        <f>测算表!G13/0.13-N16</f>
        <v/>
      </c>
    </row>
    <row r="21">
      <c r="A21" s="324" t="n"/>
      <c r="B21" s="324" t="n"/>
      <c r="C21" s="324" t="n"/>
      <c r="D21" s="324" t="n"/>
      <c r="E21" s="324" t="n"/>
      <c r="F21" s="324" t="n"/>
      <c r="G21" s="324" t="n"/>
      <c r="H21" s="324" t="n"/>
      <c r="I21" s="326" t="n"/>
      <c r="L21" s="324" t="n"/>
      <c r="M21" s="324" t="n"/>
      <c r="N21" s="324" t="n"/>
    </row>
    <row r="22">
      <c r="A22" s="324" t="n"/>
      <c r="B22" s="324" t="n"/>
      <c r="C22" s="324" t="n"/>
      <c r="D22" s="324" t="n"/>
      <c r="E22" s="324" t="n"/>
      <c r="F22" s="324" t="n"/>
      <c r="G22" s="324" t="n"/>
      <c r="H22" s="324" t="n"/>
      <c r="I22" s="324" t="n"/>
      <c r="J22" s="324" t="n"/>
      <c r="K22" s="324" t="n"/>
      <c r="L22" s="324" t="n"/>
      <c r="M22" s="324" t="n"/>
      <c r="N22" s="324" t="n"/>
    </row>
    <row r="24">
      <c r="I24" s="298" t="inlineStr">
        <is>
          <t>钢珠</t>
        </is>
      </c>
      <c r="J24" s="298" t="n">
        <v>0.015</v>
      </c>
      <c r="K24" s="298">
        <f>J24*产品成本!$B$16/J8</f>
        <v/>
      </c>
    </row>
    <row r="25">
      <c r="I25" s="298" t="inlineStr">
        <is>
          <t>滑轨塑料配件</t>
        </is>
      </c>
      <c r="J25" s="298" t="n">
        <v>0.025</v>
      </c>
      <c r="K25" s="298">
        <f>J25*产品成本!$B$16/J9</f>
        <v/>
      </c>
    </row>
    <row r="26">
      <c r="I26" s="298" t="inlineStr">
        <is>
          <t>润滑脂</t>
        </is>
      </c>
      <c r="J26" s="298" t="n">
        <v>0.007</v>
      </c>
      <c r="K26" s="298">
        <f>J26*产品成本!$B$16/J10</f>
        <v/>
      </c>
    </row>
    <row r="27">
      <c r="I27" s="298" t="inlineStr">
        <is>
          <t>纸箱</t>
        </is>
      </c>
      <c r="J27" s="298" t="n">
        <v>0.015</v>
      </c>
      <c r="K27" s="298">
        <f>J27*产品成本!$B$16/J11</f>
        <v/>
      </c>
    </row>
    <row r="28">
      <c r="I28" s="298" t="inlineStr">
        <is>
          <t>卡板托盘</t>
        </is>
      </c>
      <c r="J28" s="298" t="n">
        <v>0.02</v>
      </c>
      <c r="K28" s="298">
        <f>J28*产品成本!$B$16/J12</f>
        <v/>
      </c>
    </row>
  </sheetData>
  <mergeCells count="9">
    <mergeCell ref="A2:O2"/>
    <mergeCell ref="B3:B4"/>
    <mergeCell ref="A3:A4"/>
    <mergeCell ref="O3:O4"/>
    <mergeCell ref="A1:O1"/>
    <mergeCell ref="C3:E3"/>
    <mergeCell ref="I3:K3"/>
    <mergeCell ref="F3:H3"/>
    <mergeCell ref="L3:N3"/>
  </mergeCells>
  <pageMargins left="0.3937007874015748" right="0.3937007874015748" top="0.3937007874015748" bottom="0.3937007874015748" header="0.1968503937007874" footer="0.1968503937007874"/>
  <pageSetup orientation="landscape" paperSize="11" scale="52" blackAndWhite="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4"/>
  <sheetViews>
    <sheetView topLeftCell="A4" zoomScaleNormal="100" workbookViewId="0">
      <selection activeCell="E18" sqref="E18"/>
    </sheetView>
  </sheetViews>
  <sheetFormatPr baseColWidth="8" defaultRowHeight="15.6"/>
  <cols>
    <col width="16.19921875" customWidth="1" style="327" min="1" max="1"/>
    <col width="15.5" bestFit="1" customWidth="1" style="264" min="2" max="2"/>
    <col width="13.19921875" bestFit="1" customWidth="1" style="264" min="3" max="3"/>
    <col width="12.8984375" customWidth="1" style="264" min="4" max="4"/>
    <col width="17.8984375" bestFit="1" customWidth="1" style="264" min="5" max="5"/>
    <col width="11.5" bestFit="1" customWidth="1" style="264" min="6" max="6"/>
    <col width="13.19921875" bestFit="1" customWidth="1" style="264" min="7" max="7"/>
    <col width="16.59765625" bestFit="1" customWidth="1" style="264" min="8" max="8"/>
    <col width="17.8984375" bestFit="1" customWidth="1" style="264" min="9" max="9"/>
    <col width="16.59765625" bestFit="1" customWidth="1" style="264" min="10" max="11"/>
    <col width="15.5" bestFit="1" customWidth="1" style="264" min="12" max="12"/>
    <col width="9.8984375" bestFit="1" customWidth="1" style="264" min="13" max="13"/>
  </cols>
  <sheetData>
    <row r="1">
      <c r="A1" s="248" t="inlineStr">
        <is>
          <t>销售废料0元</t>
        </is>
      </c>
      <c r="B1" s="265" t="n"/>
      <c r="E1" s="328">
        <f>B2+D4</f>
        <v/>
      </c>
      <c r="H1" s="188" t="inlineStr">
        <is>
          <t>含税</t>
        </is>
      </c>
      <c r="I1" s="188" t="inlineStr">
        <is>
          <t>金额</t>
        </is>
      </c>
      <c r="J1" s="188" t="inlineStr">
        <is>
          <t>税额</t>
        </is>
      </c>
    </row>
    <row r="2">
      <c r="A2" s="329" t="inlineStr">
        <is>
          <t>收入</t>
        </is>
      </c>
      <c r="B2" s="330">
        <f>销售成本!E12+H7</f>
        <v/>
      </c>
      <c r="C2" s="38" t="n"/>
      <c r="G2" s="188" t="inlineStr">
        <is>
          <t>冲减无票销售</t>
        </is>
      </c>
      <c r="H2" s="155" t="n"/>
      <c r="I2" s="155" t="n"/>
      <c r="J2" s="155">
        <f>H2-I2</f>
        <v/>
      </c>
      <c r="K2" s="155">
        <f>H2/1.13</f>
        <v/>
      </c>
    </row>
    <row r="3">
      <c r="A3" s="329" t="inlineStr">
        <is>
          <t>成本</t>
        </is>
      </c>
      <c r="B3" s="330">
        <f>销售成本!J12+K7</f>
        <v/>
      </c>
      <c r="C3" s="38" t="inlineStr">
        <is>
          <t>增值税</t>
        </is>
      </c>
      <c r="D3" s="331">
        <f>(D4-F4-F5)</f>
        <v/>
      </c>
      <c r="E3" s="331" t="n"/>
    </row>
    <row r="4">
      <c r="A4" s="329" t="n"/>
      <c r="B4" s="330" t="n"/>
      <c r="C4" s="38" t="inlineStr">
        <is>
          <t>销项</t>
        </is>
      </c>
      <c r="D4" s="331" t="n">
        <v>109499.64</v>
      </c>
      <c r="E4" s="331" t="inlineStr">
        <is>
          <t>进项</t>
        </is>
      </c>
      <c r="F4" s="331">
        <f>F13</f>
        <v/>
      </c>
      <c r="H4" s="332">
        <f>生产成本月结表!J4</f>
        <v/>
      </c>
    </row>
    <row r="5">
      <c r="A5" s="329" t="inlineStr">
        <is>
          <t>生产成本</t>
        </is>
      </c>
      <c r="B5" s="330">
        <f>B6+B7+B8</f>
        <v/>
      </c>
      <c r="C5" s="83" t="n"/>
      <c r="D5" s="333" t="n"/>
      <c r="E5" s="331" t="inlineStr">
        <is>
          <t>留抵</t>
        </is>
      </c>
      <c r="F5" s="38" t="n"/>
    </row>
    <row r="6">
      <c r="A6" s="329" t="inlineStr">
        <is>
          <t>1.材料</t>
        </is>
      </c>
      <c r="B6" s="330">
        <f>产品成本!B5</f>
        <v/>
      </c>
      <c r="C6" s="334" t="n"/>
      <c r="D6" s="335" t="n"/>
      <c r="E6" s="38" t="n"/>
      <c r="F6" s="331" t="n"/>
      <c r="H6" s="57" t="inlineStr">
        <is>
          <t>金额</t>
        </is>
      </c>
      <c r="I6" s="57" t="inlineStr">
        <is>
          <t>税额</t>
        </is>
      </c>
      <c r="J6" s="57" t="inlineStr">
        <is>
          <t>含税</t>
        </is>
      </c>
      <c r="K6" s="332" t="n"/>
      <c r="L6" s="332" t="n"/>
    </row>
    <row r="7">
      <c r="A7" s="329" t="inlineStr">
        <is>
          <t>1.工资</t>
        </is>
      </c>
      <c r="B7" s="330" t="n">
        <v>75100</v>
      </c>
      <c r="C7" s="334" t="n"/>
      <c r="D7" s="336" t="n"/>
      <c r="E7" s="337">
        <f>生产成本月结表!J5</f>
        <v/>
      </c>
      <c r="F7" s="333" t="n"/>
      <c r="G7" s="57" t="inlineStr">
        <is>
          <t>废铁</t>
        </is>
      </c>
      <c r="H7" s="338" t="n"/>
      <c r="I7" s="338" t="n"/>
      <c r="J7" s="338">
        <f>H7+I7</f>
        <v/>
      </c>
      <c r="K7" s="155">
        <f>废料!X119*0</f>
        <v/>
      </c>
      <c r="L7" s="332" t="n"/>
    </row>
    <row r="8">
      <c r="A8" s="329" t="inlineStr">
        <is>
          <t>3.制造费用</t>
        </is>
      </c>
      <c r="B8" s="330">
        <f>B9+B10+B11</f>
        <v/>
      </c>
      <c r="G8" s="57" t="inlineStr">
        <is>
          <t>开票销售</t>
        </is>
      </c>
      <c r="H8" s="338" t="n"/>
      <c r="I8" s="338" t="n"/>
      <c r="J8" s="332">
        <f>H8+I8</f>
        <v/>
      </c>
    </row>
    <row r="9">
      <c r="A9" s="329" t="inlineStr">
        <is>
          <t>3.1折旧</t>
        </is>
      </c>
      <c r="B9" s="330" t="n">
        <v>3567.6</v>
      </c>
      <c r="D9" s="152" t="inlineStr">
        <is>
          <t>期初电</t>
        </is>
      </c>
      <c r="E9" s="152" t="inlineStr">
        <is>
          <t>期末电</t>
        </is>
      </c>
      <c r="G9" s="57" t="inlineStr">
        <is>
          <t>无票销售</t>
        </is>
      </c>
      <c r="H9" s="338">
        <f>H10-H7-H8</f>
        <v/>
      </c>
      <c r="I9" s="338">
        <f>I10-I7-I8</f>
        <v/>
      </c>
      <c r="J9" s="338">
        <f>J10-J7-J8</f>
        <v/>
      </c>
      <c r="L9" s="332" t="n"/>
    </row>
    <row r="10">
      <c r="A10" s="339" t="inlineStr">
        <is>
          <t>3.2电费</t>
        </is>
      </c>
      <c r="B10" s="330">
        <f>电费!E64</f>
        <v/>
      </c>
      <c r="C10" s="340" t="n"/>
      <c r="D10" s="151">
        <f>生产成本月结表!B6</f>
        <v/>
      </c>
      <c r="E10" s="151">
        <f>生产成本月结表!E6</f>
        <v/>
      </c>
      <c r="H10" s="332" t="n"/>
      <c r="I10" s="332" t="n"/>
      <c r="J10" s="332" t="n"/>
    </row>
    <row r="11">
      <c r="A11" s="339" t="inlineStr">
        <is>
          <t>3.3加工费</t>
        </is>
      </c>
      <c r="B11" s="330">
        <f>产品成本!B11-生产成本月结表!B8</f>
        <v/>
      </c>
      <c r="C11" s="333" t="n"/>
      <c r="H11" s="332" t="n"/>
      <c r="K11" s="332" t="n"/>
    </row>
    <row r="12">
      <c r="A12" s="329" t="n"/>
      <c r="B12" s="330" t="n"/>
      <c r="D12" s="55" t="inlineStr">
        <is>
          <t>期初待抵</t>
        </is>
      </c>
      <c r="E12" s="55" t="inlineStr">
        <is>
          <t>本期增加</t>
        </is>
      </c>
      <c r="F12" s="55" t="inlineStr">
        <is>
          <t>本期认证</t>
        </is>
      </c>
      <c r="G12" s="55" t="inlineStr">
        <is>
          <t>期末留抵</t>
        </is>
      </c>
      <c r="K12" s="341" t="n"/>
    </row>
    <row r="13">
      <c r="A13" s="329" t="inlineStr">
        <is>
          <t>主营业务税金及附加</t>
        </is>
      </c>
      <c r="B13" s="330">
        <f>B14+B15+B16+B17</f>
        <v/>
      </c>
      <c r="D13" s="342" t="n">
        <v>89965.29000000001</v>
      </c>
      <c r="E13" s="342">
        <f>E14+1088.48+68.72+103.08</f>
        <v/>
      </c>
      <c r="F13" s="342" t="n">
        <v>93998.60000000001</v>
      </c>
      <c r="G13" s="342">
        <f>D13+E13-F13</f>
        <v/>
      </c>
      <c r="J13" s="332" t="n"/>
      <c r="K13" s="341" t="n"/>
    </row>
    <row r="14">
      <c r="A14" s="329" t="inlineStr">
        <is>
          <t>1.城建税</t>
        </is>
      </c>
      <c r="B14" s="343">
        <f>D3*0.07/2-0.01</f>
        <v/>
      </c>
      <c r="D14" s="57" t="n"/>
      <c r="E14" s="342" t="n">
        <v>105343.61</v>
      </c>
      <c r="F14" s="57" t="n"/>
      <c r="G14" s="342" t="n"/>
      <c r="H14" s="332" t="n"/>
      <c r="I14" s="332" t="n"/>
      <c r="J14" s="332" t="n"/>
      <c r="K14" s="341" t="n"/>
    </row>
    <row r="15">
      <c r="A15" s="329" t="inlineStr">
        <is>
          <t>2.教育费附加</t>
        </is>
      </c>
      <c r="B15" s="343">
        <f>IF(B2&lt;100000,0,D3*0.03/2)-0.01</f>
        <v/>
      </c>
      <c r="D15" s="57" t="n"/>
      <c r="E15" s="57" t="n"/>
      <c r="F15" s="344" t="n"/>
      <c r="G15" s="342" t="n">
        <v>102570.58</v>
      </c>
      <c r="H15" s="345">
        <f>G13-G15</f>
        <v/>
      </c>
    </row>
    <row r="16">
      <c r="A16" s="329" t="inlineStr">
        <is>
          <t>3.地方教育费附加</t>
        </is>
      </c>
      <c r="B16" s="343">
        <f>IF(B2&lt;100000,0,D3*0.02/2)</f>
        <v/>
      </c>
      <c r="D16" s="57" t="n"/>
      <c r="E16" s="57" t="n"/>
      <c r="F16" s="55" t="n"/>
    </row>
    <row r="17">
      <c r="A17" s="339" t="n"/>
      <c r="B17" s="330" t="n"/>
      <c r="D17" s="57" t="inlineStr">
        <is>
          <t>年销售额</t>
        </is>
      </c>
      <c r="E17" s="332">
        <f>E28/12*12</f>
        <v/>
      </c>
      <c r="F17" s="332" t="n"/>
      <c r="K17" s="346" t="n"/>
    </row>
    <row r="18">
      <c r="A18" s="339" t="inlineStr">
        <is>
          <t>销售费用</t>
        </is>
      </c>
      <c r="B18" s="330">
        <f>SUM(B19:B21)</f>
        <v/>
      </c>
      <c r="D18" s="57" t="inlineStr">
        <is>
          <t>年利润总额</t>
        </is>
      </c>
      <c r="E18" s="338" t="n">
        <v>222369.28</v>
      </c>
      <c r="F18" s="333" t="n"/>
      <c r="G18" s="347" t="n"/>
      <c r="H18" s="348" t="n"/>
      <c r="I18" s="8" t="n"/>
      <c r="K18" s="346" t="n"/>
    </row>
    <row r="19">
      <c r="A19" s="339" t="inlineStr">
        <is>
          <t>出口服务费</t>
        </is>
      </c>
      <c r="B19" s="330" t="n">
        <v>1908</v>
      </c>
      <c r="D19" s="110" t="inlineStr">
        <is>
          <t>投资者减除</t>
        </is>
      </c>
      <c r="E19" s="349" t="n"/>
      <c r="F19" s="83" t="n"/>
      <c r="G19" s="350" t="n"/>
      <c r="H19" s="351" t="n"/>
      <c r="I19" s="351" t="n"/>
      <c r="K19" s="346" t="n"/>
    </row>
    <row r="20">
      <c r="A20" s="339" t="inlineStr">
        <is>
          <t>报关费</t>
        </is>
      </c>
      <c r="B20" s="330">
        <f>721+1884.9</f>
        <v/>
      </c>
      <c r="D20" s="110" t="inlineStr">
        <is>
          <t>应纳税所得额</t>
        </is>
      </c>
      <c r="E20" s="352">
        <f>E18-E19</f>
        <v/>
      </c>
      <c r="F20" s="353" t="n"/>
      <c r="G20" s="354" t="n"/>
      <c r="H20" s="8" t="n"/>
      <c r="I20" s="8" t="n"/>
      <c r="K20" s="346" t="n"/>
    </row>
    <row r="21">
      <c r="A21" s="339" t="inlineStr">
        <is>
          <t>运输费</t>
        </is>
      </c>
      <c r="B21" s="330">
        <f>6872+10308</f>
        <v/>
      </c>
      <c r="D21" s="110" t="inlineStr">
        <is>
          <t>应纳税额</t>
        </is>
      </c>
      <c r="E21" s="352">
        <f>IF(E20&lt;=30000,E20*0.05,IF(E20&lt;=90000,E20*0.1-1500,IF(E20&lt;=300000,E20*0.2-10500,IF(E20&lt;=500000,E20*0.3-40500,E20*0.35-65500))))</f>
        <v/>
      </c>
      <c r="F21" s="353" t="n"/>
      <c r="H21" s="332" t="n"/>
      <c r="J21" s="355" t="n"/>
      <c r="K21" s="346" t="n"/>
      <c r="L21" s="356" t="n"/>
      <c r="M21" s="346" t="n"/>
    </row>
    <row r="22">
      <c r="A22" s="329" t="n"/>
      <c r="B22" s="330" t="n"/>
      <c r="D22" s="110" t="inlineStr">
        <is>
          <t>减免税额</t>
        </is>
      </c>
      <c r="E22" s="332">
        <f>E21/2</f>
        <v/>
      </c>
      <c r="F22" s="357">
        <f>E22/E17</f>
        <v/>
      </c>
      <c r="G22" s="332">
        <f>E17*0.00206870879425307-E22</f>
        <v/>
      </c>
      <c r="H22" s="332" t="n"/>
    </row>
    <row r="23">
      <c r="A23" s="329" t="inlineStr">
        <is>
          <t>营业利润</t>
        </is>
      </c>
      <c r="B23" s="330">
        <f>B2-B3-B13-B18</f>
        <v/>
      </c>
      <c r="D23" s="147" t="inlineStr">
        <is>
          <t>已缴纳税额</t>
        </is>
      </c>
      <c r="E23" s="358">
        <f>1366.83+2284.43+5819.66</f>
        <v/>
      </c>
      <c r="F23" s="359" t="n"/>
      <c r="J23" s="327" t="n"/>
      <c r="K23" s="346" t="n"/>
    </row>
    <row r="24">
      <c r="A24" s="329" t="n"/>
      <c r="B24" s="330" t="n"/>
      <c r="D24" s="147" t="inlineStr">
        <is>
          <t>缓交税额</t>
        </is>
      </c>
      <c r="E24" s="358" t="n"/>
      <c r="F24" s="359" t="n"/>
      <c r="J24" s="327" t="n"/>
      <c r="K24" s="346" t="n"/>
      <c r="L24" s="346" t="n"/>
      <c r="M24" s="360" t="n"/>
    </row>
    <row r="25">
      <c r="A25" s="329" t="inlineStr">
        <is>
          <t>管理费用</t>
        </is>
      </c>
      <c r="B25" s="330">
        <f>SUM(B26:B35)</f>
        <v/>
      </c>
      <c r="D25" s="110" t="inlineStr">
        <is>
          <t>应补税额</t>
        </is>
      </c>
      <c r="E25" s="349">
        <f>E21-E22-E23-E24</f>
        <v/>
      </c>
      <c r="F25" s="332" t="n"/>
      <c r="G25" s="213" t="n">
        <v>0.9938581628957763</v>
      </c>
      <c r="K25" s="346" t="n"/>
      <c r="L25" s="346" t="n"/>
      <c r="M25" s="361" t="n"/>
    </row>
    <row r="26">
      <c r="A26" s="329" t="inlineStr">
        <is>
          <t>1.工资</t>
        </is>
      </c>
      <c r="B26" s="330" t="n">
        <v>5000</v>
      </c>
      <c r="G26" s="362" t="n"/>
      <c r="H26" s="327" t="n"/>
      <c r="I26" s="57" t="inlineStr">
        <is>
          <t>税款</t>
        </is>
      </c>
      <c r="K26" s="346" t="n"/>
      <c r="M26" s="363" t="n"/>
    </row>
    <row r="27">
      <c r="A27" s="329" t="inlineStr">
        <is>
          <t>2.办公</t>
        </is>
      </c>
      <c r="B27" s="330" t="n"/>
      <c r="I27" s="332">
        <f>D3+B14+B15+B16+B35+E38</f>
        <v/>
      </c>
      <c r="K27" s="346" t="n"/>
      <c r="L27" s="346" t="n"/>
      <c r="M27" s="298" t="n"/>
    </row>
    <row r="28">
      <c r="A28" s="329" t="inlineStr">
        <is>
          <t>3.差旅</t>
        </is>
      </c>
      <c r="B28" s="330" t="n"/>
      <c r="D28" s="57" t="inlineStr">
        <is>
          <t>累计销售额</t>
        </is>
      </c>
      <c r="E28" s="338">
        <f>生产成本月结表!B14</f>
        <v/>
      </c>
    </row>
    <row r="29">
      <c r="A29" s="339" t="inlineStr">
        <is>
          <t>4.业务</t>
        </is>
      </c>
      <c r="B29" s="330" t="n"/>
      <c r="D29" s="57" t="inlineStr">
        <is>
          <t>利润总额</t>
        </is>
      </c>
      <c r="E29" s="332">
        <f>E18/12*12</f>
        <v/>
      </c>
      <c r="F29" s="57" t="n"/>
      <c r="I29" s="155" t="n"/>
    </row>
    <row r="30">
      <c r="A30" s="364" t="inlineStr">
        <is>
          <t>5.保险</t>
        </is>
      </c>
      <c r="B30" s="330" t="n"/>
      <c r="D30" s="57" t="inlineStr">
        <is>
          <t>实际利润总额</t>
        </is>
      </c>
      <c r="E30" s="333">
        <f>203838.52+B47</f>
        <v/>
      </c>
      <c r="F30" s="332" t="n"/>
      <c r="G30" s="282">
        <f>E28-E30</f>
        <v/>
      </c>
    </row>
    <row r="31">
      <c r="A31" s="364" t="inlineStr">
        <is>
          <t>6.折旧</t>
        </is>
      </c>
      <c r="B31" s="330" t="n"/>
      <c r="D31" s="57" t="inlineStr">
        <is>
          <t>差异</t>
        </is>
      </c>
      <c r="E31" s="365">
        <f>E30-E29</f>
        <v/>
      </c>
    </row>
    <row r="32">
      <c r="A32" s="364" t="inlineStr">
        <is>
          <t>7.福利费</t>
        </is>
      </c>
      <c r="B32" s="330" t="n"/>
      <c r="D32" s="110" t="inlineStr">
        <is>
          <t>投资者减除</t>
        </is>
      </c>
      <c r="E32" s="349" t="n"/>
    </row>
    <row r="33">
      <c r="A33" s="339" t="inlineStr">
        <is>
          <t>8.土地使用税</t>
        </is>
      </c>
      <c r="B33" s="343" t="n"/>
      <c r="C33" s="155" t="n">
        <v>7500</v>
      </c>
      <c r="D33" s="110" t="inlineStr">
        <is>
          <t>应纳税所得额</t>
        </is>
      </c>
      <c r="E33" s="352">
        <f>E30-E32</f>
        <v/>
      </c>
    </row>
    <row r="34">
      <c r="A34" s="339" t="inlineStr">
        <is>
          <t>9.房产税</t>
        </is>
      </c>
      <c r="B34" s="343" t="n"/>
      <c r="C34" s="155" t="n">
        <v>3746.4</v>
      </c>
      <c r="D34" s="110" t="inlineStr">
        <is>
          <t>应纳税额</t>
        </is>
      </c>
      <c r="E34" s="338">
        <f>IF(E33&lt;=30000,E33*0.05,IF(E33&lt;=90000,E33*0.1-1500,IF(E33&lt;=300000,E33*0.2-10500,IF(E33&lt;=500000,E33*0.3-40500,E33*0.35-65500))))</f>
        <v/>
      </c>
    </row>
    <row r="35">
      <c r="A35" s="339" t="inlineStr">
        <is>
          <t>10.社保费</t>
        </is>
      </c>
      <c r="B35" s="343" t="n">
        <v>8623.65</v>
      </c>
      <c r="C35" s="155" t="n"/>
      <c r="D35" s="110" t="inlineStr">
        <is>
          <t>减免税额</t>
        </is>
      </c>
      <c r="E35" s="332">
        <f>E34/2</f>
        <v/>
      </c>
      <c r="F35" s="366">
        <f>E35/E28</f>
        <v/>
      </c>
    </row>
    <row r="36">
      <c r="A36" s="339" t="n"/>
      <c r="B36" s="330" t="n"/>
      <c r="D36" s="110" t="inlineStr">
        <is>
          <t>已缴纳税额</t>
        </is>
      </c>
      <c r="E36" s="349">
        <f>E23</f>
        <v/>
      </c>
    </row>
    <row r="37">
      <c r="A37" s="329" t="inlineStr">
        <is>
          <t>财务费用</t>
        </is>
      </c>
      <c r="B37" s="330">
        <f>B39-B38+B40+B41-B42</f>
        <v/>
      </c>
      <c r="D37" s="147" t="inlineStr">
        <is>
          <t>缓交税额</t>
        </is>
      </c>
      <c r="E37" s="358">
        <f>E24</f>
        <v/>
      </c>
    </row>
    <row r="38">
      <c r="A38" s="329" t="inlineStr">
        <is>
          <t>利息</t>
        </is>
      </c>
      <c r="B38" s="330" t="n">
        <v>50.08</v>
      </c>
      <c r="D38" s="110" t="inlineStr">
        <is>
          <t>应补税额</t>
        </is>
      </c>
      <c r="E38" s="367">
        <f>E34-E35-E36-E37</f>
        <v/>
      </c>
    </row>
    <row r="39">
      <c r="A39" s="329" t="inlineStr">
        <is>
          <t>手续费</t>
        </is>
      </c>
      <c r="B39" s="330">
        <f>2.5+94.5+10</f>
        <v/>
      </c>
      <c r="D39" s="333" t="n"/>
      <c r="E39" s="332">
        <f>E25-E38</f>
        <v/>
      </c>
    </row>
    <row r="40">
      <c r="A40" s="339" t="inlineStr">
        <is>
          <t>贷款息</t>
        </is>
      </c>
      <c r="B40" s="330" t="n">
        <v>3150</v>
      </c>
      <c r="D40" s="333" t="n"/>
    </row>
    <row r="41">
      <c r="A41" s="368" t="inlineStr">
        <is>
          <t>退税综合服务费</t>
        </is>
      </c>
      <c r="B41" s="330" t="n"/>
      <c r="D41" s="333" t="n"/>
    </row>
    <row r="42">
      <c r="A42" s="364" t="inlineStr">
        <is>
          <t>汇兑损益</t>
        </is>
      </c>
      <c r="B42" s="330">
        <f>14957.69</f>
        <v/>
      </c>
    </row>
    <row r="43">
      <c r="A43" s="329" t="n"/>
      <c r="B43" s="330" t="n"/>
    </row>
    <row r="44">
      <c r="A44" s="329" t="inlineStr">
        <is>
          <t>营业外收入</t>
        </is>
      </c>
      <c r="B44" s="330" t="n"/>
      <c r="D44" s="333" t="n"/>
    </row>
    <row r="45">
      <c r="A45" s="329" t="inlineStr">
        <is>
          <t>营业外支出</t>
        </is>
      </c>
      <c r="B45" s="330">
        <f>10.39</f>
        <v/>
      </c>
    </row>
    <row r="46">
      <c r="A46" s="329" t="n"/>
      <c r="B46" s="330" t="n"/>
    </row>
    <row r="47">
      <c r="A47" s="329" t="inlineStr">
        <is>
          <t>利润总额</t>
        </is>
      </c>
      <c r="B47" s="330">
        <f>B23-B25-B37+B44-B45</f>
        <v/>
      </c>
    </row>
    <row r="48">
      <c r="A48" s="329" t="n"/>
      <c r="B48" s="330" t="n"/>
    </row>
    <row r="49">
      <c r="A49" s="329" t="inlineStr">
        <is>
          <t>净利润</t>
        </is>
      </c>
      <c r="B49" s="330">
        <f>B47</f>
        <v/>
      </c>
    </row>
    <row r="54">
      <c r="B54" s="333" t="n"/>
    </row>
  </sheetData>
  <mergeCells count="1">
    <mergeCell ref="A1:B1"/>
  </mergeCells>
  <pageMargins left="0.1574803149606299" right="0.1574803149606299" top="0.984251968503937" bottom="0.984251968503937" header="0.5118110236220472" footer="0.5118110236220472"/>
  <pageSetup orientation="portrait" paperSize="9" scale="95" verticalDpi="180"/>
  <legacyDrawing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zoomScale="115" zoomScaleNormal="115" workbookViewId="0">
      <selection activeCell="B5" sqref="B5"/>
    </sheetView>
  </sheetViews>
  <sheetFormatPr baseColWidth="8" defaultColWidth="3.59765625" defaultRowHeight="15.6"/>
  <cols>
    <col width="33" customWidth="1" style="264" min="1" max="2"/>
  </cols>
  <sheetData>
    <row r="1" ht="51" customHeight="1" s="264">
      <c r="A1" s="250" t="inlineStr">
        <is>
          <t>揭阳市揭东区磐东洪运来机械厂</t>
        </is>
      </c>
    </row>
    <row r="2" ht="51" customHeight="1" s="264">
      <c r="A2" s="251" t="inlineStr">
        <is>
          <t>2025年12月工资计算表</t>
        </is>
      </c>
    </row>
    <row r="3" ht="49.5" customHeight="1" s="264">
      <c r="A3" s="4" t="n"/>
      <c r="B3" s="69" t="inlineStr">
        <is>
          <t xml:space="preserve"> 货币单位:元</t>
        </is>
      </c>
    </row>
    <row r="4" ht="69" customHeight="1" s="264">
      <c r="A4" s="67" t="inlineStr">
        <is>
          <t>部门名称</t>
        </is>
      </c>
      <c r="B4" s="67" t="inlineStr">
        <is>
          <t>应发金额</t>
        </is>
      </c>
    </row>
    <row r="5" ht="69" customHeight="1" s="264">
      <c r="A5" s="67" t="inlineStr">
        <is>
          <t>生产车间</t>
        </is>
      </c>
      <c r="B5" s="369">
        <f>测算表!B7</f>
        <v/>
      </c>
    </row>
    <row r="6" ht="69" customHeight="1" s="264">
      <c r="A6" s="67" t="inlineStr">
        <is>
          <t>管理部门</t>
        </is>
      </c>
      <c r="B6" s="369">
        <f>测算表!B26</f>
        <v/>
      </c>
    </row>
    <row r="7" ht="69" customHeight="1" s="264">
      <c r="A7" s="67" t="inlineStr">
        <is>
          <t>合    计</t>
        </is>
      </c>
      <c r="B7" s="369">
        <f>B5+B6</f>
        <v/>
      </c>
    </row>
    <row r="8" ht="13.5" customHeight="1" s="264">
      <c r="A8" s="4" t="n"/>
    </row>
    <row r="9" ht="13.5" customHeight="1" s="264"/>
    <row r="10" ht="13.5" customHeight="1" s="264"/>
    <row r="11" ht="13.5" customHeight="1" s="264">
      <c r="B11" s="171">
        <f>B5/4500</f>
        <v/>
      </c>
    </row>
    <row r="12" ht="13.5" customHeight="1" s="264"/>
    <row r="13" ht="13.5" customHeight="1" s="264"/>
    <row r="14" ht="13.5" customHeight="1" s="264"/>
    <row r="15" ht="13.5" customHeight="1" s="264"/>
    <row r="16" ht="13.5" customHeight="1" s="264">
      <c r="A16" s="85" t="n"/>
      <c r="B16" s="85" t="n"/>
    </row>
    <row r="17" ht="13.5" customHeight="1" s="264">
      <c r="A17" s="85" t="n"/>
      <c r="B17" s="85" t="n"/>
    </row>
    <row r="18" ht="13.5" customHeight="1" s="264">
      <c r="A18" s="86" t="n"/>
      <c r="B18" s="86" t="n"/>
    </row>
    <row r="19" ht="13.5" customHeight="1" s="264">
      <c r="A19" s="86" t="n"/>
      <c r="B19" s="86" t="n"/>
    </row>
    <row r="20" ht="13.5" customHeight="1" s="264">
      <c r="A20" s="262" t="n"/>
      <c r="B20" s="262" t="n"/>
    </row>
    <row r="21" ht="13.5" customHeight="1" s="264">
      <c r="A21" s="262" t="n"/>
      <c r="B21" s="370" t="n"/>
    </row>
    <row r="22" ht="13.5" customHeight="1" s="264">
      <c r="A22" s="262" t="n"/>
      <c r="B22" s="370" t="n"/>
    </row>
    <row r="23" ht="13.5" customHeight="1" s="264">
      <c r="A23" s="262" t="n"/>
      <c r="B23" s="7" t="n"/>
    </row>
    <row r="24" ht="13.5" customHeight="1" s="264">
      <c r="A24" s="86" t="n"/>
      <c r="B24" s="86" t="n"/>
    </row>
    <row r="25" ht="13.5" customHeight="1" s="264">
      <c r="A25" s="86" t="n"/>
      <c r="B25" s="86" t="n"/>
    </row>
    <row r="26" ht="13.5" customHeight="1" s="264">
      <c r="A26" s="86" t="n"/>
      <c r="B26" s="86" t="n"/>
    </row>
    <row r="27" ht="13.5" customHeight="1" s="264"/>
    <row r="28" ht="13.5" customHeight="1" s="264"/>
    <row r="29" ht="13.5" customHeight="1" s="264"/>
    <row r="30" ht="13.5" customHeight="1" s="264"/>
    <row r="31" ht="13.5" customHeight="1" s="264"/>
    <row r="32" ht="13.5" customHeight="1" s="264"/>
    <row r="33" ht="13.5" customHeight="1" s="264"/>
    <row r="34" ht="13.5" customHeight="1" s="264"/>
    <row r="35" ht="13.5" customHeight="1" s="264"/>
    <row r="36" ht="13.5" customHeight="1" s="264"/>
  </sheetData>
  <mergeCells count="2">
    <mergeCell ref="A2:B2"/>
    <mergeCell ref="A1:B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 scale="9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zoomScale="130" zoomScaleNormal="130" workbookViewId="0">
      <selection activeCell="F14" sqref="F14"/>
    </sheetView>
  </sheetViews>
  <sheetFormatPr baseColWidth="8" defaultColWidth="9" defaultRowHeight="15.6"/>
  <cols>
    <col width="13.8984375" customWidth="1" style="13" min="1" max="6"/>
    <col width="16.09765625" bestFit="1" customWidth="1" style="13" min="7" max="8"/>
    <col width="9" customWidth="1" style="13" min="9" max="9"/>
    <col width="15" bestFit="1" customWidth="1" style="13" min="10" max="10"/>
    <col width="9" customWidth="1" style="13" min="11" max="16384"/>
  </cols>
  <sheetData>
    <row r="1" ht="28.2" customHeight="1" s="264">
      <c r="A1" s="253" t="inlineStr">
        <is>
          <t>生产成本月结表</t>
        </is>
      </c>
    </row>
    <row r="2" ht="26.25" customHeight="1" s="264">
      <c r="A2" s="252" t="inlineStr">
        <is>
          <t xml:space="preserve">  编制单位：揭阳市揭东区磐东洪运来机械厂     2025 年 12 月份 　        单位：元         </t>
        </is>
      </c>
      <c r="B2" s="265" t="n"/>
      <c r="C2" s="265" t="n"/>
      <c r="D2" s="265" t="n"/>
      <c r="E2" s="265" t="n"/>
      <c r="F2" s="265" t="n"/>
    </row>
    <row r="3" ht="42" customHeight="1" s="264">
      <c r="A3" s="140" t="inlineStr">
        <is>
          <t>项目</t>
        </is>
      </c>
      <c r="B3" s="141" t="inlineStr">
        <is>
          <t>上月结存</t>
        </is>
      </c>
      <c r="C3" s="141" t="inlineStr">
        <is>
          <t>本月发生</t>
        </is>
      </c>
      <c r="D3" s="141" t="inlineStr">
        <is>
          <t>本月结转</t>
        </is>
      </c>
      <c r="E3" s="141" t="inlineStr">
        <is>
          <t>本月结余</t>
        </is>
      </c>
      <c r="F3" s="142" t="inlineStr">
        <is>
          <t>备注</t>
        </is>
      </c>
    </row>
    <row r="4" ht="42" customHeight="1" s="264">
      <c r="A4" s="14" t="inlineStr">
        <is>
          <t>材料费</t>
        </is>
      </c>
      <c r="B4" s="371" t="n">
        <v>177431.24</v>
      </c>
      <c r="C4" s="372">
        <f>材料!K16-材料!S9</f>
        <v/>
      </c>
      <c r="D4" s="373">
        <f>产品成本!B5+测算表!K7+材料!H14</f>
        <v/>
      </c>
      <c r="E4" s="372">
        <f>B4+C4-D4</f>
        <v/>
      </c>
      <c r="F4" s="374">
        <f>E4/E9</f>
        <v/>
      </c>
      <c r="G4" s="375">
        <f>产品成本!B25</f>
        <v/>
      </c>
      <c r="J4" s="376">
        <f>E6/(G6/G4)-E4</f>
        <v/>
      </c>
    </row>
    <row r="5" ht="42" customHeight="1" s="264">
      <c r="A5" s="14" t="inlineStr">
        <is>
          <t>工资</t>
        </is>
      </c>
      <c r="B5" s="371" t="n">
        <v>26088.3</v>
      </c>
      <c r="C5" s="372">
        <f>测算表!B7</f>
        <v/>
      </c>
      <c r="D5" s="373">
        <f>产品成本!B7</f>
        <v/>
      </c>
      <c r="E5" s="372">
        <f>B5+C5-D5</f>
        <v/>
      </c>
      <c r="F5" s="374">
        <f>E5/E9</f>
        <v/>
      </c>
      <c r="G5" s="375">
        <f>产品成本!B26</f>
        <v/>
      </c>
      <c r="J5" s="376">
        <f>E6/(G6/G5)-E5</f>
        <v/>
      </c>
    </row>
    <row r="6" ht="42" customHeight="1" s="264">
      <c r="A6" s="14" t="inlineStr">
        <is>
          <t>动力</t>
        </is>
      </c>
      <c r="B6" s="371" t="n">
        <v>2376.3</v>
      </c>
      <c r="C6" s="372">
        <f>测算表!B10</f>
        <v/>
      </c>
      <c r="D6" s="373">
        <f>产品成本!B9</f>
        <v/>
      </c>
      <c r="E6" s="372">
        <f>B6+C6-D6</f>
        <v/>
      </c>
      <c r="F6" s="374">
        <f>E6/E9</f>
        <v/>
      </c>
      <c r="G6" s="375">
        <f>产品成本!B27</f>
        <v/>
      </c>
    </row>
    <row r="7" ht="42" customHeight="1" s="264">
      <c r="A7" s="14" t="inlineStr">
        <is>
          <t>折旧</t>
        </is>
      </c>
      <c r="B7" s="371" t="n"/>
      <c r="C7" s="372">
        <f>测算表!B9</f>
        <v/>
      </c>
      <c r="D7" s="373">
        <f>产品成本!B10</f>
        <v/>
      </c>
      <c r="E7" s="372" t="n"/>
      <c r="F7" s="377" t="n"/>
    </row>
    <row r="8" ht="42" customHeight="1" s="264">
      <c r="A8" s="14" t="inlineStr">
        <is>
          <t>加工</t>
        </is>
      </c>
      <c r="B8" s="372" t="n"/>
      <c r="C8" s="372">
        <f>测算表!B11</f>
        <v/>
      </c>
      <c r="D8" s="373">
        <f>产品成本!B11</f>
        <v/>
      </c>
      <c r="E8" s="372" t="n"/>
      <c r="F8" s="377" t="n"/>
    </row>
    <row r="9" ht="42" customHeight="1" s="264">
      <c r="A9" s="14" t="inlineStr">
        <is>
          <t>合    计</t>
        </is>
      </c>
      <c r="B9" s="372">
        <f>SUM(B4:B8)</f>
        <v/>
      </c>
      <c r="C9" s="372">
        <f>SUM(C4:C8)</f>
        <v/>
      </c>
      <c r="D9" s="373">
        <f>SUM(D4:D8)</f>
        <v/>
      </c>
      <c r="E9" s="372">
        <f>SUM(E4:E8)</f>
        <v/>
      </c>
      <c r="F9" s="19" t="n"/>
    </row>
    <row r="10">
      <c r="A10" s="20" t="n"/>
      <c r="B10" s="20" t="n"/>
      <c r="C10" s="20" t="n"/>
      <c r="D10" s="20" t="n"/>
      <c r="E10" s="20" t="n"/>
    </row>
    <row r="11">
      <c r="A11" s="21" t="n"/>
      <c r="B11" s="21" t="n"/>
      <c r="C11" s="21" t="n"/>
      <c r="D11" s="21" t="n"/>
      <c r="E11" s="21" t="n"/>
      <c r="H11" s="378">
        <f>G12-H12</f>
        <v/>
      </c>
    </row>
    <row r="12">
      <c r="E12" s="379" t="n"/>
      <c r="G12" s="273">
        <f>E4+材料!N16</f>
        <v/>
      </c>
      <c r="H12" s="273">
        <f>F14*产品成本!B24</f>
        <v/>
      </c>
    </row>
    <row r="13">
      <c r="D13" s="380" t="n"/>
      <c r="E13" s="342">
        <f>E9+材料!N16+销售成本!L12*0</f>
        <v/>
      </c>
    </row>
    <row r="14">
      <c r="A14" s="95" t="inlineStr">
        <is>
          <t>累计销售额</t>
        </is>
      </c>
      <c r="B14" s="380">
        <f>7527087+测算表!B2</f>
        <v/>
      </c>
      <c r="D14" s="376">
        <f>材料!O16</f>
        <v/>
      </c>
      <c r="E14" s="342">
        <f>E13/0.71947*0.13</f>
        <v/>
      </c>
      <c r="F14" s="380">
        <f>E14/0.13</f>
        <v/>
      </c>
      <c r="G14" s="380">
        <f>F14*C15</f>
        <v/>
      </c>
    </row>
    <row r="15">
      <c r="A15" s="95" t="inlineStr">
        <is>
          <t>实缴</t>
        </is>
      </c>
      <c r="B15" s="380">
        <f>169486.28+测算表!D3</f>
        <v/>
      </c>
      <c r="C15" s="381">
        <f>B15/B14</f>
        <v/>
      </c>
      <c r="D15" s="376">
        <f>D14*0.13</f>
        <v/>
      </c>
      <c r="E15" s="342">
        <f>测算表!G13</f>
        <v/>
      </c>
    </row>
    <row r="16">
      <c r="A16" s="95" t="inlineStr">
        <is>
          <t>应缴</t>
        </is>
      </c>
      <c r="B16" s="380">
        <f>B14*0.0221</f>
        <v/>
      </c>
      <c r="E16" s="378">
        <f>E14-E15</f>
        <v/>
      </c>
    </row>
    <row r="17">
      <c r="A17" s="95" t="inlineStr">
        <is>
          <t>多交</t>
        </is>
      </c>
      <c r="B17" s="380">
        <f>B15-B16</f>
        <v/>
      </c>
    </row>
    <row r="18">
      <c r="E18" s="378" t="n"/>
      <c r="H18" s="378">
        <f>H11-F20</f>
        <v/>
      </c>
    </row>
    <row r="19">
      <c r="B19" s="380" t="n"/>
      <c r="D19" s="380">
        <f>E16-D15</f>
        <v/>
      </c>
    </row>
    <row r="20">
      <c r="D20" s="380" t="n"/>
      <c r="E20" s="380">
        <f>G14-B17-D19</f>
        <v/>
      </c>
      <c r="F20" s="380">
        <f>E20/0.13</f>
        <v/>
      </c>
      <c r="G20" s="133" t="inlineStr">
        <is>
          <t>少结材料</t>
        </is>
      </c>
      <c r="H20" s="133" t="inlineStr">
        <is>
          <t>开票单价提高</t>
        </is>
      </c>
    </row>
    <row r="21">
      <c r="F21" s="382" t="n"/>
      <c r="G21" s="13" t="inlineStr">
        <is>
          <t>废料</t>
        </is>
      </c>
    </row>
    <row r="22">
      <c r="D22" s="383" t="n"/>
    </row>
  </sheetData>
  <mergeCells count="2">
    <mergeCell ref="A2:F2"/>
    <mergeCell ref="A1:F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"/>
  <sheetViews>
    <sheetView zoomScale="85" zoomScaleNormal="85" workbookViewId="0">
      <selection activeCell="N7" sqref="N7:N24"/>
    </sheetView>
  </sheetViews>
  <sheetFormatPr baseColWidth="8" defaultRowHeight="15.6"/>
  <cols>
    <col width="8.8984375" customWidth="1" style="264" min="1" max="1"/>
    <col width="13.8984375" customWidth="1" style="264" min="2" max="2"/>
    <col width="12.8984375" customWidth="1" style="264" min="3" max="5"/>
    <col width="16.59765625" customWidth="1" style="264" min="6" max="6"/>
    <col width="10" bestFit="1" customWidth="1" style="264" min="7" max="7"/>
    <col width="10.5" bestFit="1" customWidth="1" style="264" min="8" max="8"/>
    <col width="21.5" bestFit="1" customWidth="1" style="264" min="11" max="11"/>
    <col width="8.8984375" customWidth="1" style="264" min="12" max="12"/>
    <col width="13.8984375" customWidth="1" style="264" min="13" max="13"/>
    <col width="12.8984375" customWidth="1" style="264" min="14" max="15"/>
    <col width="16.59765625" customWidth="1" style="264" min="16" max="16"/>
    <col width="9.5" bestFit="1" customWidth="1" style="264" min="18" max="18"/>
  </cols>
  <sheetData>
    <row r="1" ht="25.8" customFormat="1" customHeight="1" s="129">
      <c r="A1" s="257" t="inlineStr">
        <is>
          <t>揭阳市揭东区磐东洪运来机械厂</t>
        </is>
      </c>
      <c r="L1" s="0" t="n"/>
      <c r="M1" s="0" t="n"/>
      <c r="N1" s="0" t="n"/>
      <c r="O1" s="0" t="n"/>
      <c r="P1" s="0" t="n"/>
      <c r="Q1" s="0" t="n"/>
      <c r="R1" s="0" t="n"/>
    </row>
    <row r="2" ht="25.8" customFormat="1" customHeight="1" s="129">
      <c r="A2" s="257" t="inlineStr">
        <is>
          <t>工        资        表</t>
        </is>
      </c>
      <c r="L2" s="0" t="n"/>
      <c r="M2" s="0" t="n"/>
      <c r="N2" s="0" t="n"/>
      <c r="O2" s="0" t="n"/>
      <c r="P2" s="0" t="n"/>
      <c r="Q2" s="0" t="n"/>
      <c r="R2" s="0" t="n"/>
    </row>
    <row r="3" ht="9" customHeight="1" s="264"/>
    <row r="4">
      <c r="D4" s="130" t="n"/>
      <c r="E4" s="258" t="inlineStr">
        <is>
          <t>单位：元   2025年11月</t>
        </is>
      </c>
    </row>
    <row r="5" ht="9" customHeight="1" s="264"/>
    <row r="6" ht="24.75" customHeight="1" s="264">
      <c r="A6" s="131" t="inlineStr">
        <is>
          <t>序号</t>
        </is>
      </c>
      <c r="B6" s="131" t="inlineStr">
        <is>
          <t>姓   名</t>
        </is>
      </c>
      <c r="C6" s="131" t="inlineStr">
        <is>
          <t>应发工资</t>
        </is>
      </c>
      <c r="D6" s="131" t="inlineStr">
        <is>
          <t>扣   款</t>
        </is>
      </c>
      <c r="E6" s="131" t="inlineStr">
        <is>
          <t>实发工资</t>
        </is>
      </c>
      <c r="F6" s="131" t="inlineStr">
        <is>
          <t>签   名</t>
        </is>
      </c>
      <c r="J6" s="0" t="inlineStr">
        <is>
          <t>姓名</t>
        </is>
      </c>
      <c r="M6" s="0" t="inlineStr">
        <is>
          <t>姓   名</t>
        </is>
      </c>
      <c r="N6" s="0" t="inlineStr">
        <is>
          <t>应发工资</t>
        </is>
      </c>
    </row>
    <row r="7" ht="24.75" customHeight="1" s="264">
      <c r="A7" s="126" t="n"/>
      <c r="B7" s="126" t="inlineStr">
        <is>
          <t>李洪军</t>
        </is>
      </c>
      <c r="C7" s="384" t="n">
        <v>2800</v>
      </c>
      <c r="D7" s="384" t="n">
        <v>0</v>
      </c>
      <c r="E7" s="384">
        <f>C7-D7</f>
        <v/>
      </c>
      <c r="F7" s="126" t="n"/>
      <c r="I7" s="132" t="n">
        <v>1</v>
      </c>
      <c r="J7" s="83" t="inlineStr">
        <is>
          <t>李洪军</t>
        </is>
      </c>
      <c r="K7" s="128" t="n"/>
      <c r="M7" s="0" t="inlineStr">
        <is>
          <t>曾小琼</t>
        </is>
      </c>
      <c r="N7" s="0" t="n">
        <v>6550</v>
      </c>
    </row>
    <row r="8" ht="24.75" customHeight="1" s="264">
      <c r="A8" s="126" t="n"/>
      <c r="B8" s="126" t="inlineStr">
        <is>
          <t>李静</t>
        </is>
      </c>
      <c r="C8" s="384" t="n">
        <v>2200</v>
      </c>
      <c r="D8" s="384" t="n">
        <v>0</v>
      </c>
      <c r="E8" s="384">
        <f>C8-D8</f>
        <v/>
      </c>
      <c r="F8" s="126" t="n"/>
      <c r="I8" s="132" t="n">
        <v>2</v>
      </c>
      <c r="J8" s="132" t="inlineStr">
        <is>
          <t>李静</t>
        </is>
      </c>
      <c r="K8" s="128" t="n"/>
      <c r="M8" s="0" t="inlineStr">
        <is>
          <t>陈云凤</t>
        </is>
      </c>
      <c r="N8" s="0" t="n">
        <v>8840</v>
      </c>
    </row>
    <row r="9" ht="24.75" customHeight="1" s="264">
      <c r="A9" s="126" t="n"/>
      <c r="B9" s="126" t="inlineStr">
        <is>
          <t>杨泽明</t>
        </is>
      </c>
      <c r="C9" s="384" t="n">
        <v>8840</v>
      </c>
      <c r="D9" s="384" t="n">
        <v>0</v>
      </c>
      <c r="E9" s="384">
        <f>C9-D9</f>
        <v/>
      </c>
      <c r="F9" s="126" t="n"/>
      <c r="H9" s="346">
        <f>C9-1000</f>
        <v/>
      </c>
      <c r="I9" s="132" t="n">
        <v>3</v>
      </c>
      <c r="J9" s="83" t="inlineStr">
        <is>
          <t>杨泽明</t>
        </is>
      </c>
      <c r="K9" s="128" t="n"/>
      <c r="M9" s="0" t="inlineStr">
        <is>
          <t>代飞</t>
        </is>
      </c>
      <c r="N9" s="0" t="n">
        <v>6270</v>
      </c>
    </row>
    <row r="10" ht="24.75" customHeight="1" s="264">
      <c r="A10" s="126" t="n"/>
      <c r="B10" s="126" t="inlineStr">
        <is>
          <t>余文平</t>
        </is>
      </c>
      <c r="C10" s="384" t="n">
        <v>8080</v>
      </c>
      <c r="D10" s="384" t="n">
        <v>0</v>
      </c>
      <c r="E10" s="384">
        <f>C10-D10</f>
        <v/>
      </c>
      <c r="F10" s="126" t="n"/>
      <c r="H10" s="346">
        <f>C10-1000</f>
        <v/>
      </c>
      <c r="I10" s="132" t="n">
        <v>4</v>
      </c>
      <c r="J10" s="83" t="inlineStr">
        <is>
          <t>余文平</t>
        </is>
      </c>
      <c r="K10" s="128" t="n"/>
      <c r="M10" s="0" t="inlineStr">
        <is>
          <t>代燕</t>
        </is>
      </c>
      <c r="N10" s="0" t="n">
        <v>7470</v>
      </c>
    </row>
    <row r="11" ht="24.75" customHeight="1" s="264">
      <c r="A11" s="126" t="n"/>
      <c r="B11" s="126" t="inlineStr">
        <is>
          <t>陈云凤</t>
        </is>
      </c>
      <c r="C11" s="384" t="n">
        <v>8840</v>
      </c>
      <c r="D11" s="384" t="n">
        <v>0</v>
      </c>
      <c r="E11" s="384">
        <f>C11-D11</f>
        <v/>
      </c>
      <c r="F11" s="126" t="n"/>
      <c r="H11" s="346">
        <f>C11-1000</f>
        <v/>
      </c>
      <c r="I11" s="132" t="n">
        <v>5</v>
      </c>
      <c r="J11" s="83" t="inlineStr">
        <is>
          <t>陈云凤</t>
        </is>
      </c>
      <c r="K11" s="128" t="n"/>
      <c r="M11" s="57" t="inlineStr">
        <is>
          <t>代玉金</t>
        </is>
      </c>
      <c r="N11" s="0" t="n">
        <v>8970</v>
      </c>
    </row>
    <row r="12" ht="24.75" customHeight="1" s="264">
      <c r="A12" s="126" t="n"/>
      <c r="B12" s="126" t="inlineStr">
        <is>
          <t>代玉金</t>
        </is>
      </c>
      <c r="C12" s="384" t="n">
        <v>8970</v>
      </c>
      <c r="D12" s="384" t="n">
        <v>0</v>
      </c>
      <c r="E12" s="384">
        <f>C12-D12</f>
        <v/>
      </c>
      <c r="F12" s="126" t="n"/>
      <c r="H12" s="346">
        <f>C12-1000</f>
        <v/>
      </c>
      <c r="I12" s="132" t="n">
        <v>6</v>
      </c>
      <c r="J12" s="83" t="inlineStr">
        <is>
          <t>代玉金</t>
        </is>
      </c>
      <c r="K12" s="128" t="n"/>
      <c r="M12" s="0" t="inlineStr">
        <is>
          <t>郭聪</t>
        </is>
      </c>
      <c r="N12" s="0" t="n">
        <v>7750</v>
      </c>
    </row>
    <row r="13" ht="24.75" customHeight="1" s="264">
      <c r="A13" s="126" t="n"/>
      <c r="B13" s="126" t="inlineStr">
        <is>
          <t>杨艳群</t>
        </is>
      </c>
      <c r="C13" s="384" t="n">
        <v>8860</v>
      </c>
      <c r="D13" s="384" t="n">
        <v>0</v>
      </c>
      <c r="E13" s="384">
        <f>C13-D13</f>
        <v/>
      </c>
      <c r="F13" s="126" t="n"/>
      <c r="H13" s="346">
        <f>C13-1000</f>
        <v/>
      </c>
      <c r="I13" s="132" t="n">
        <v>7</v>
      </c>
      <c r="J13" s="83" t="inlineStr">
        <is>
          <t>杨艳群</t>
        </is>
      </c>
      <c r="K13" s="128" t="n"/>
      <c r="M13" s="0" t="inlineStr">
        <is>
          <t>李洪军</t>
        </is>
      </c>
      <c r="N13" s="0" t="n">
        <v>2800</v>
      </c>
    </row>
    <row r="14" ht="24.75" customHeight="1" s="264">
      <c r="A14" s="126" t="n"/>
      <c r="B14" s="126" t="inlineStr">
        <is>
          <t>李金容</t>
        </is>
      </c>
      <c r="C14" s="384" t="n">
        <v>7940</v>
      </c>
      <c r="D14" s="384" t="n">
        <v>0</v>
      </c>
      <c r="E14" s="384">
        <f>C14-D14</f>
        <v/>
      </c>
      <c r="F14" s="126" t="n"/>
      <c r="H14" s="346">
        <f>C14-1000</f>
        <v/>
      </c>
      <c r="I14" s="132" t="n">
        <v>8</v>
      </c>
      <c r="J14" s="83" t="inlineStr">
        <is>
          <t>李金容</t>
        </is>
      </c>
      <c r="K14" s="128" t="n"/>
      <c r="M14" s="0" t="inlineStr">
        <is>
          <t>李金容</t>
        </is>
      </c>
      <c r="N14" s="0" t="n">
        <v>7940</v>
      </c>
    </row>
    <row r="15" ht="24.75" customHeight="1" s="264">
      <c r="A15" s="126" t="n"/>
      <c r="B15" s="126" t="inlineStr">
        <is>
          <t>张贵华</t>
        </is>
      </c>
      <c r="C15" s="384" t="n">
        <v>7680</v>
      </c>
      <c r="D15" s="384" t="n">
        <v>0</v>
      </c>
      <c r="E15" s="384">
        <f>C15-D15</f>
        <v/>
      </c>
      <c r="F15" s="126" t="n"/>
      <c r="H15" s="346">
        <f>C15-1000</f>
        <v/>
      </c>
      <c r="I15" s="132" t="n">
        <v>9</v>
      </c>
      <c r="J15" s="83" t="inlineStr">
        <is>
          <t>张贵华</t>
        </is>
      </c>
      <c r="K15" s="128" t="n"/>
      <c r="M15" s="0" t="inlineStr">
        <is>
          <t>李静</t>
        </is>
      </c>
      <c r="N15" s="0" t="n">
        <v>2200</v>
      </c>
    </row>
    <row r="16" ht="24.75" customHeight="1" s="264">
      <c r="A16" s="126" t="n"/>
      <c r="B16" s="126" t="inlineStr">
        <is>
          <t>王彬</t>
        </is>
      </c>
      <c r="C16" s="384" t="n">
        <v>7320</v>
      </c>
      <c r="D16" s="384" t="n">
        <v>0</v>
      </c>
      <c r="E16" s="384">
        <f>C16-D16</f>
        <v/>
      </c>
      <c r="F16" s="126" t="n"/>
      <c r="H16" s="346">
        <f>C16-1000</f>
        <v/>
      </c>
      <c r="I16" s="132" t="n">
        <v>10</v>
      </c>
      <c r="J16" s="83" t="inlineStr">
        <is>
          <t>王彬</t>
        </is>
      </c>
      <c r="K16" s="128" t="n"/>
      <c r="M16" s="0" t="inlineStr">
        <is>
          <t>刘华清</t>
        </is>
      </c>
      <c r="N16" s="0" t="n">
        <v>6310</v>
      </c>
    </row>
    <row r="17" ht="24.75" customHeight="1" s="264">
      <c r="A17" s="126" t="n"/>
      <c r="B17" s="126" t="inlineStr">
        <is>
          <t>代燕</t>
        </is>
      </c>
      <c r="C17" s="384" t="n">
        <v>7470</v>
      </c>
      <c r="D17" s="384" t="n">
        <v>0</v>
      </c>
      <c r="E17" s="384">
        <f>C17-D17</f>
        <v/>
      </c>
      <c r="F17" s="126" t="n"/>
      <c r="H17" s="346">
        <f>C17-1000</f>
        <v/>
      </c>
      <c r="I17" s="132" t="n">
        <v>11</v>
      </c>
      <c r="J17" s="83" t="inlineStr">
        <is>
          <t>代燕</t>
        </is>
      </c>
      <c r="M17" s="0" t="inlineStr">
        <is>
          <t>石光成</t>
        </is>
      </c>
      <c r="N17" s="0" t="n">
        <v>6920</v>
      </c>
    </row>
    <row r="18" ht="24.75" customHeight="1" s="264">
      <c r="A18" s="126" t="n"/>
      <c r="B18" s="126" t="inlineStr">
        <is>
          <t>郭聪</t>
        </is>
      </c>
      <c r="C18" s="384" t="n">
        <v>7750</v>
      </c>
      <c r="D18" s="384" t="n">
        <v>0</v>
      </c>
      <c r="E18" s="384">
        <f>C18-D18</f>
        <v/>
      </c>
      <c r="F18" s="126" t="n"/>
      <c r="H18" s="346">
        <f>C18-1000</f>
        <v/>
      </c>
      <c r="I18" s="132" t="n">
        <v>12</v>
      </c>
      <c r="J18" s="83" t="inlineStr">
        <is>
          <t>郭聪</t>
        </is>
      </c>
      <c r="M18" s="0" t="inlineStr">
        <is>
          <t>王彬</t>
        </is>
      </c>
      <c r="N18" s="0" t="n">
        <v>7320</v>
      </c>
    </row>
    <row r="19" ht="24.75" customHeight="1" s="264">
      <c r="A19" s="126" t="n"/>
      <c r="B19" s="152" t="inlineStr">
        <is>
          <t>吴文荣</t>
        </is>
      </c>
      <c r="C19" s="384" t="n">
        <v>7380</v>
      </c>
      <c r="D19" s="384" t="n">
        <v>0</v>
      </c>
      <c r="E19" s="384">
        <f>C19-D19</f>
        <v/>
      </c>
      <c r="F19" s="126" t="n"/>
      <c r="H19" s="346">
        <f>C19-1000</f>
        <v/>
      </c>
      <c r="I19" s="132" t="n">
        <v>13</v>
      </c>
      <c r="J19" s="258" t="inlineStr">
        <is>
          <t>吴文荣</t>
        </is>
      </c>
      <c r="M19" s="0" t="inlineStr">
        <is>
          <t>吴文荣</t>
        </is>
      </c>
      <c r="N19" s="0" t="n">
        <v>7380</v>
      </c>
    </row>
    <row r="20" ht="24.75" customHeight="1" s="264">
      <c r="A20" s="126" t="n"/>
      <c r="B20" s="126" t="inlineStr">
        <is>
          <t>石光成</t>
        </is>
      </c>
      <c r="C20" s="384">
        <f>7820-900</f>
        <v/>
      </c>
      <c r="D20" s="384" t="n">
        <v>0</v>
      </c>
      <c r="E20" s="384">
        <f>C20-D20</f>
        <v/>
      </c>
      <c r="F20" s="126" t="n"/>
      <c r="H20" s="346">
        <f>C20-1000</f>
        <v/>
      </c>
      <c r="I20" s="132" t="n">
        <v>14</v>
      </c>
      <c r="J20" s="83" t="inlineStr">
        <is>
          <t>石光成</t>
        </is>
      </c>
      <c r="M20" s="0" t="inlineStr">
        <is>
          <t>杨艳群</t>
        </is>
      </c>
      <c r="N20" s="0" t="n">
        <v>8860</v>
      </c>
    </row>
    <row r="21" ht="24.75" customHeight="1" s="264">
      <c r="A21" s="126" t="n"/>
      <c r="B21" s="126" t="inlineStr">
        <is>
          <t>曾小琼</t>
        </is>
      </c>
      <c r="C21" s="384" t="n">
        <v>6550</v>
      </c>
      <c r="D21" s="384" t="n">
        <v>0</v>
      </c>
      <c r="E21" s="384">
        <f>C21-D21</f>
        <v/>
      </c>
      <c r="F21" s="126" t="n"/>
      <c r="H21" s="346">
        <f>C21-1000</f>
        <v/>
      </c>
      <c r="I21" s="132" t="n">
        <v>15</v>
      </c>
      <c r="J21" s="83" t="inlineStr">
        <is>
          <t>曾小琼</t>
        </is>
      </c>
      <c r="M21" s="0" t="inlineStr">
        <is>
          <t>杨泽明</t>
        </is>
      </c>
      <c r="N21" s="0" t="n">
        <v>8840</v>
      </c>
    </row>
    <row r="22" ht="24.75" customHeight="1" s="264">
      <c r="A22" s="126" t="n"/>
      <c r="B22" s="126" t="inlineStr">
        <is>
          <t>叶书香</t>
        </is>
      </c>
      <c r="C22" s="384" t="n">
        <v>6560</v>
      </c>
      <c r="D22" s="384" t="n">
        <v>0</v>
      </c>
      <c r="E22" s="384">
        <f>C22-D22</f>
        <v/>
      </c>
      <c r="F22" s="126" t="n"/>
      <c r="H22" s="346">
        <f>C22-1000</f>
        <v/>
      </c>
      <c r="I22" s="83" t="n">
        <v>16</v>
      </c>
      <c r="J22" s="83" t="inlineStr">
        <is>
          <t>叶书香</t>
        </is>
      </c>
      <c r="M22" s="0" t="inlineStr">
        <is>
          <t>叶书香</t>
        </is>
      </c>
      <c r="N22" s="0" t="n">
        <v>6560</v>
      </c>
    </row>
    <row r="23" ht="24.75" customHeight="1" s="264">
      <c r="A23" s="126" t="n"/>
      <c r="B23" s="126" t="inlineStr">
        <is>
          <t>代飞</t>
        </is>
      </c>
      <c r="C23" s="384" t="n">
        <v>6270</v>
      </c>
      <c r="D23" s="384" t="n">
        <v>0</v>
      </c>
      <c r="E23" s="384">
        <f>C23-D23</f>
        <v/>
      </c>
      <c r="F23" s="126" t="n"/>
      <c r="H23" s="346">
        <f>C23-1000</f>
        <v/>
      </c>
      <c r="I23" s="83" t="n">
        <v>17</v>
      </c>
      <c r="J23" s="83" t="inlineStr">
        <is>
          <t>代飞</t>
        </is>
      </c>
      <c r="M23" s="0" t="inlineStr">
        <is>
          <t>余文平</t>
        </is>
      </c>
      <c r="N23" s="0" t="n">
        <v>8080</v>
      </c>
    </row>
    <row r="24" ht="24.75" customHeight="1" s="264">
      <c r="A24" s="126" t="n"/>
      <c r="B24" s="126" t="inlineStr">
        <is>
          <t>刘华清</t>
        </is>
      </c>
      <c r="C24" s="384" t="n">
        <v>6310</v>
      </c>
      <c r="D24" s="384" t="n">
        <v>0</v>
      </c>
      <c r="E24" s="384">
        <f>C24-D24</f>
        <v/>
      </c>
      <c r="F24" s="126" t="n"/>
      <c r="H24" s="346">
        <f>C24-1000</f>
        <v/>
      </c>
      <c r="I24" s="83" t="n">
        <v>18</v>
      </c>
      <c r="J24" s="83" t="inlineStr">
        <is>
          <t>刘华清</t>
        </is>
      </c>
      <c r="M24" s="0" t="inlineStr">
        <is>
          <t>张贵华</t>
        </is>
      </c>
      <c r="N24" s="0" t="n">
        <v>7680</v>
      </c>
    </row>
    <row r="25" ht="24.75" customHeight="1" s="264">
      <c r="A25" s="126" t="n"/>
      <c r="B25" s="126" t="n"/>
      <c r="C25" s="384" t="n"/>
      <c r="D25" s="384" t="n"/>
      <c r="E25" s="384" t="n"/>
      <c r="F25" s="126" t="n"/>
      <c r="H25" s="346" t="n"/>
      <c r="I25" s="83" t="n">
        <v>19</v>
      </c>
      <c r="J25" s="83" t="inlineStr">
        <is>
          <t>谢苏玲</t>
        </is>
      </c>
    </row>
    <row r="26" ht="24.75" customHeight="1" s="264">
      <c r="A26" s="126" t="n"/>
      <c r="B26" s="126" t="n"/>
      <c r="C26" s="384" t="n"/>
      <c r="D26" s="384" t="n"/>
      <c r="E26" s="384" t="n"/>
      <c r="F26" s="126" t="n"/>
      <c r="H26" s="346" t="n"/>
      <c r="I26" s="83" t="n">
        <v>20</v>
      </c>
      <c r="J26" s="186" t="inlineStr">
        <is>
          <t>钟玉婷</t>
        </is>
      </c>
    </row>
    <row r="27" ht="24.75" customHeight="1" s="264">
      <c r="A27" s="126" t="n"/>
      <c r="B27" s="126" t="n"/>
      <c r="C27" s="384" t="n"/>
      <c r="D27" s="384" t="n"/>
      <c r="E27" s="384" t="n"/>
      <c r="F27" s="126" t="n"/>
      <c r="H27" s="346" t="n"/>
      <c r="J27" s="83" t="inlineStr">
        <is>
          <t>郑华强</t>
        </is>
      </c>
    </row>
    <row r="28" ht="24.75" customHeight="1" s="264">
      <c r="A28" s="126" t="n"/>
      <c r="B28" s="126" t="n"/>
      <c r="C28" s="384" t="n"/>
      <c r="D28" s="384" t="n"/>
      <c r="E28" s="384" t="n"/>
      <c r="F28" s="126" t="n"/>
      <c r="H28" s="346" t="n"/>
      <c r="J28" s="83" t="inlineStr">
        <is>
          <t>郑文益</t>
        </is>
      </c>
    </row>
    <row r="29" ht="24.75" customHeight="1" s="264">
      <c r="A29" s="126" t="inlineStr">
        <is>
          <t>合   计</t>
        </is>
      </c>
      <c r="B29" s="266" t="n"/>
      <c r="C29" s="384">
        <f>SUM(C7:C28)</f>
        <v/>
      </c>
      <c r="D29" s="384">
        <f>SUM(D7:D28)</f>
        <v/>
      </c>
      <c r="E29" s="384">
        <f>SUM(E7:E28)</f>
        <v/>
      </c>
      <c r="F29" s="126" t="n"/>
      <c r="J29" s="0" t="inlineStr">
        <is>
          <t>杨玲</t>
        </is>
      </c>
    </row>
    <row r="30">
      <c r="J30" s="0" t="inlineStr">
        <is>
          <t>杨玉银</t>
        </is>
      </c>
    </row>
    <row r="31">
      <c r="C31" s="346">
        <f>126740-C29</f>
        <v/>
      </c>
      <c r="J31" s="0" t="inlineStr">
        <is>
          <t>石珠福</t>
        </is>
      </c>
    </row>
    <row r="33">
      <c r="B33" s="57" t="n"/>
      <c r="C33" s="333" t="n"/>
      <c r="D33" s="57" t="n"/>
    </row>
    <row r="34">
      <c r="C34" s="333" t="n"/>
    </row>
    <row r="35">
      <c r="C35" s="333" t="n"/>
    </row>
    <row r="36">
      <c r="B36" s="209" t="n"/>
      <c r="C36" s="333" t="n"/>
    </row>
    <row r="37">
      <c r="B37" s="209" t="n"/>
      <c r="C37" s="333" t="n"/>
    </row>
    <row r="38">
      <c r="C38" s="333" t="n"/>
    </row>
    <row r="39">
      <c r="B39" s="209" t="n"/>
      <c r="C39" s="333" t="n"/>
    </row>
    <row r="40">
      <c r="B40" s="209" t="n"/>
      <c r="C40" s="333" t="n"/>
    </row>
    <row r="41">
      <c r="C41" s="333" t="n"/>
    </row>
    <row r="42">
      <c r="B42" s="57" t="n"/>
      <c r="C42" s="333" t="n"/>
    </row>
    <row r="43">
      <c r="B43" s="57" t="n"/>
      <c r="C43" s="333" t="n"/>
    </row>
    <row r="44">
      <c r="C44" s="333" t="n"/>
    </row>
    <row r="45">
      <c r="B45" s="57" t="n"/>
      <c r="C45" s="333" t="n"/>
    </row>
    <row r="46">
      <c r="B46" s="57" t="n"/>
      <c r="C46" s="333" t="n"/>
    </row>
    <row r="47">
      <c r="C47" s="333" t="n"/>
    </row>
    <row r="48">
      <c r="B48" s="57" t="n"/>
      <c r="C48" s="333" t="n"/>
    </row>
    <row r="49">
      <c r="C49" s="333" t="n"/>
    </row>
    <row r="50">
      <c r="C50" s="333" t="n"/>
    </row>
    <row r="51">
      <c r="B51" s="216" t="n"/>
      <c r="C51" s="333" t="n"/>
    </row>
    <row r="52">
      <c r="C52" s="333" t="n"/>
    </row>
    <row r="53">
      <c r="C53" s="333" t="n"/>
    </row>
    <row r="54">
      <c r="B54" s="57" t="n"/>
      <c r="C54" s="333" t="n"/>
    </row>
    <row r="55">
      <c r="C55" s="333" t="n"/>
    </row>
    <row r="56">
      <c r="C56" s="333" t="n"/>
    </row>
    <row r="57">
      <c r="B57" s="57" t="n"/>
      <c r="C57" s="333" t="n"/>
    </row>
  </sheetData>
  <autoFilter ref="M6:N6">
    <sortState ref="M7:N24">
      <sortCondition ref="M6"/>
    </sortState>
  </autoFilter>
  <mergeCells count="4">
    <mergeCell ref="A2:F2"/>
    <mergeCell ref="E4:F4"/>
    <mergeCell ref="A1:F1"/>
    <mergeCell ref="A29:B29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M65"/>
  <sheetViews>
    <sheetView topLeftCell="A44" zoomScale="145" zoomScaleNormal="145" workbookViewId="0">
      <selection activeCell="D64" sqref="D64"/>
    </sheetView>
  </sheetViews>
  <sheetFormatPr baseColWidth="8" defaultRowHeight="15.6"/>
  <cols>
    <col width="11.59765625" bestFit="1" customWidth="1" style="264" min="1" max="1"/>
    <col width="6" bestFit="1" customWidth="1" style="264" min="2" max="2"/>
    <col width="14" bestFit="1" customWidth="1" style="264" min="3" max="3"/>
    <col width="8.5" bestFit="1" customWidth="1" style="264" min="4" max="4"/>
    <col width="15" bestFit="1" customWidth="1" style="264" min="5" max="5"/>
    <col width="10.5" bestFit="1" customWidth="1" style="264" min="6" max="6"/>
    <col width="12.59765625" bestFit="1" customWidth="1" style="264" min="7" max="7"/>
    <col width="11.59765625" bestFit="1" customWidth="1" style="264" min="10" max="10"/>
  </cols>
  <sheetData>
    <row r="3">
      <c r="B3" s="259" t="inlineStr">
        <is>
          <t>2022年洪运来电费</t>
        </is>
      </c>
    </row>
    <row r="4">
      <c r="B4" s="157" t="inlineStr">
        <is>
          <t>月份</t>
        </is>
      </c>
      <c r="C4" s="157" t="inlineStr">
        <is>
          <t>度数（KWH）</t>
        </is>
      </c>
      <c r="D4" s="157" t="inlineStr">
        <is>
          <t>单价</t>
        </is>
      </c>
      <c r="E4" s="157" t="inlineStr">
        <is>
          <t>金额（不含税</t>
        </is>
      </c>
      <c r="F4" s="157" t="inlineStr">
        <is>
          <t>税额</t>
        </is>
      </c>
      <c r="G4" s="157" t="inlineStr">
        <is>
          <t>金额（含税</t>
        </is>
      </c>
    </row>
    <row r="5">
      <c r="B5" s="158" t="n">
        <v>1</v>
      </c>
      <c r="C5" s="159" t="n">
        <v>5962</v>
      </c>
      <c r="D5" s="385">
        <f>E5/C5</f>
        <v/>
      </c>
      <c r="E5" s="386" t="n">
        <v>4680</v>
      </c>
      <c r="F5" s="386" t="n"/>
      <c r="G5" s="386">
        <f>E5+F5</f>
        <v/>
      </c>
    </row>
    <row r="6">
      <c r="B6" s="158" t="n">
        <v>2</v>
      </c>
      <c r="C6" s="159" t="n">
        <v>8344</v>
      </c>
      <c r="D6" s="385">
        <f>E6/C6</f>
        <v/>
      </c>
      <c r="E6" s="386" t="n">
        <v>6550</v>
      </c>
      <c r="F6" s="386" t="n"/>
      <c r="G6" s="386">
        <f>E6+F6</f>
        <v/>
      </c>
    </row>
    <row r="7">
      <c r="B7" s="158" t="n">
        <v>3</v>
      </c>
      <c r="C7" s="159" t="n">
        <v>17771</v>
      </c>
      <c r="D7" s="385">
        <f>E7/C7</f>
        <v/>
      </c>
      <c r="E7" s="386" t="n">
        <v>13950</v>
      </c>
      <c r="F7" s="386" t="n"/>
      <c r="G7" s="386">
        <f>E7+F7</f>
        <v/>
      </c>
    </row>
    <row r="8">
      <c r="B8" s="158" t="n">
        <v>4</v>
      </c>
      <c r="C8" s="159" t="n">
        <v>6408</v>
      </c>
      <c r="D8" s="385">
        <f>E8/C8</f>
        <v/>
      </c>
      <c r="E8" s="386" t="n">
        <v>5030</v>
      </c>
      <c r="F8" s="386" t="n"/>
      <c r="G8" s="386">
        <f>E8+F8</f>
        <v/>
      </c>
    </row>
    <row r="9">
      <c r="B9" s="158" t="n">
        <v>5</v>
      </c>
      <c r="C9" s="159" t="n">
        <v>6268</v>
      </c>
      <c r="D9" s="385">
        <f>E9/C9</f>
        <v/>
      </c>
      <c r="E9" s="386" t="n">
        <v>4920</v>
      </c>
      <c r="F9" s="386" t="n"/>
      <c r="G9" s="386">
        <f>E9+F9</f>
        <v/>
      </c>
    </row>
    <row r="10">
      <c r="B10" s="158" t="n">
        <v>6</v>
      </c>
      <c r="C10" s="159" t="n">
        <v>19465</v>
      </c>
      <c r="D10" s="385">
        <f>E10/C10</f>
        <v/>
      </c>
      <c r="E10" s="386" t="n">
        <v>15280</v>
      </c>
      <c r="F10" s="386" t="n"/>
      <c r="G10" s="386">
        <f>E10+F10</f>
        <v/>
      </c>
    </row>
    <row r="11">
      <c r="B11" s="158" t="n">
        <v>7</v>
      </c>
      <c r="C11" s="159" t="n">
        <v>16917</v>
      </c>
      <c r="D11" s="385">
        <f>E11/C11</f>
        <v/>
      </c>
      <c r="E11" s="386" t="n">
        <v>13280</v>
      </c>
      <c r="F11" s="386" t="n"/>
      <c r="G11" s="386">
        <f>E11+F11</f>
        <v/>
      </c>
    </row>
    <row r="12">
      <c r="B12" s="158" t="n">
        <v>8</v>
      </c>
      <c r="C12" s="159" t="n">
        <v>22739</v>
      </c>
      <c r="D12" s="385">
        <f>E12/C12</f>
        <v/>
      </c>
      <c r="E12" s="386" t="n">
        <v>17850</v>
      </c>
      <c r="F12" s="386" t="n"/>
      <c r="G12" s="386">
        <f>E12+F12</f>
        <v/>
      </c>
    </row>
    <row r="13">
      <c r="B13" s="158" t="n">
        <v>9</v>
      </c>
      <c r="C13" s="159" t="n">
        <v>20280</v>
      </c>
      <c r="D13" s="385">
        <f>E13/C13</f>
        <v/>
      </c>
      <c r="E13" s="386" t="n">
        <v>15920</v>
      </c>
      <c r="F13" s="386" t="n"/>
      <c r="G13" s="386">
        <f>E13+F13</f>
        <v/>
      </c>
    </row>
    <row r="14">
      <c r="B14" s="158" t="n">
        <v>10</v>
      </c>
      <c r="C14" s="159" t="n">
        <v>12637</v>
      </c>
      <c r="D14" s="385">
        <f>E14/C14</f>
        <v/>
      </c>
      <c r="E14" s="386" t="n">
        <v>9920</v>
      </c>
      <c r="F14" s="386" t="n"/>
      <c r="G14" s="386">
        <f>E14+F14</f>
        <v/>
      </c>
    </row>
    <row r="15">
      <c r="A15" s="165" t="inlineStr">
        <is>
          <t>付10月电费</t>
        </is>
      </c>
      <c r="B15" s="158" t="n">
        <v>11</v>
      </c>
      <c r="C15" s="159" t="n">
        <v>22395</v>
      </c>
      <c r="D15" s="385">
        <f>E15/C15</f>
        <v/>
      </c>
      <c r="E15" s="386" t="n">
        <v>17580</v>
      </c>
      <c r="F15" s="386" t="n"/>
      <c r="G15" s="386">
        <f>E15+F15</f>
        <v/>
      </c>
    </row>
    <row r="16">
      <c r="A16" s="165" t="inlineStr">
        <is>
          <t>付11月电费</t>
        </is>
      </c>
      <c r="B16" s="158" t="n">
        <v>12</v>
      </c>
      <c r="C16" s="159" t="n">
        <v>22624</v>
      </c>
      <c r="D16" s="385">
        <f>E16/C16</f>
        <v/>
      </c>
      <c r="E16" s="386" t="n">
        <v>17760</v>
      </c>
      <c r="F16" s="386" t="n"/>
      <c r="G16" s="386">
        <f>E16+F16</f>
        <v/>
      </c>
    </row>
    <row r="17">
      <c r="B17" s="162" t="n"/>
      <c r="C17" s="387">
        <f>SUM(C5:C16)</f>
        <v/>
      </c>
      <c r="D17" s="388">
        <f>E17/C17</f>
        <v/>
      </c>
      <c r="E17" s="387">
        <f>SUM(E5:E16)</f>
        <v/>
      </c>
      <c r="F17" s="387">
        <f>SUM(F5:F16)</f>
        <v/>
      </c>
      <c r="G17" s="387">
        <f>SUM(G5:G16)</f>
        <v/>
      </c>
    </row>
    <row r="19">
      <c r="B19" s="259" t="inlineStr">
        <is>
          <t>2023年洪运来电费</t>
        </is>
      </c>
    </row>
    <row r="20">
      <c r="B20" s="157" t="inlineStr">
        <is>
          <t>月份</t>
        </is>
      </c>
      <c r="C20" s="157" t="inlineStr">
        <is>
          <t>度数（KWH）</t>
        </is>
      </c>
      <c r="D20" s="157" t="inlineStr">
        <is>
          <t>单价</t>
        </is>
      </c>
      <c r="E20" s="157" t="inlineStr">
        <is>
          <t>金额（不含税</t>
        </is>
      </c>
      <c r="F20" s="157" t="inlineStr">
        <is>
          <t>税额</t>
        </is>
      </c>
      <c r="G20" s="157" t="inlineStr">
        <is>
          <t>金额（含税</t>
        </is>
      </c>
    </row>
    <row r="21">
      <c r="A21" s="165" t="inlineStr">
        <is>
          <t>付12月电费</t>
        </is>
      </c>
      <c r="B21" s="158" t="n">
        <v>1</v>
      </c>
      <c r="C21" s="159" t="n">
        <v>13452</v>
      </c>
      <c r="D21" s="385">
        <f>E21/C21</f>
        <v/>
      </c>
      <c r="E21" s="386" t="n">
        <v>10560</v>
      </c>
      <c r="F21" s="386" t="n"/>
      <c r="G21" s="386">
        <f>E21+F21</f>
        <v/>
      </c>
    </row>
    <row r="22">
      <c r="A22" s="57" t="inlineStr">
        <is>
          <t>付1月电费</t>
        </is>
      </c>
      <c r="B22" s="158" t="n">
        <v>2</v>
      </c>
      <c r="C22" s="159" t="n">
        <v>12076</v>
      </c>
      <c r="D22" s="385">
        <f>E22/C22</f>
        <v/>
      </c>
      <c r="E22" s="386" t="n">
        <v>9480</v>
      </c>
      <c r="F22" s="386" t="n"/>
      <c r="G22" s="386">
        <f>E22+F22</f>
        <v/>
      </c>
    </row>
    <row r="23">
      <c r="A23" s="57" t="inlineStr">
        <is>
          <t>付2月电费</t>
        </is>
      </c>
      <c r="B23" s="158" t="n">
        <v>3</v>
      </c>
      <c r="C23" s="159" t="n">
        <v>7465</v>
      </c>
      <c r="D23" s="385">
        <f>E23/C23</f>
        <v/>
      </c>
      <c r="E23" s="386" t="n">
        <v>5860</v>
      </c>
      <c r="F23" s="386" t="n"/>
      <c r="G23" s="386">
        <f>E23+F23</f>
        <v/>
      </c>
    </row>
    <row r="24">
      <c r="A24" s="173" t="inlineStr">
        <is>
          <t>付3月电费</t>
        </is>
      </c>
      <c r="B24" s="158" t="n">
        <v>4</v>
      </c>
      <c r="C24" s="159" t="n">
        <v>27322</v>
      </c>
      <c r="D24" s="385">
        <f>E24/C24</f>
        <v/>
      </c>
      <c r="E24" s="386" t="n">
        <v>23920</v>
      </c>
      <c r="F24" s="386" t="n"/>
      <c r="G24" s="386">
        <f>E24+F24</f>
        <v/>
      </c>
    </row>
    <row r="25">
      <c r="A25" s="57" t="inlineStr">
        <is>
          <t>付4月电费</t>
        </is>
      </c>
      <c r="B25" s="158" t="n">
        <v>5</v>
      </c>
      <c r="C25" s="159" t="n">
        <v>9580</v>
      </c>
      <c r="D25" s="385">
        <f>E25/C25</f>
        <v/>
      </c>
      <c r="E25" s="386" t="n">
        <v>9772</v>
      </c>
      <c r="F25" s="386" t="n"/>
      <c r="G25" s="386">
        <f>E25+F25</f>
        <v/>
      </c>
    </row>
    <row r="26">
      <c r="A26" s="57" t="inlineStr">
        <is>
          <t>付5月电费</t>
        </is>
      </c>
      <c r="B26" s="158" t="n">
        <v>6</v>
      </c>
      <c r="C26" s="159" t="n">
        <v>17245</v>
      </c>
      <c r="D26" s="385">
        <f>E26/C26</f>
        <v/>
      </c>
      <c r="E26" s="386" t="n">
        <v>17590</v>
      </c>
      <c r="F26" s="386" t="n"/>
      <c r="G26" s="386">
        <f>E26+F26</f>
        <v/>
      </c>
    </row>
    <row r="27">
      <c r="A27" s="57" t="inlineStr">
        <is>
          <t>付6月电费</t>
        </is>
      </c>
      <c r="B27" s="158" t="n">
        <v>7</v>
      </c>
      <c r="C27" s="159" t="n">
        <v>8108</v>
      </c>
      <c r="D27" s="385">
        <f>E27/C27</f>
        <v/>
      </c>
      <c r="E27" s="386" t="n">
        <v>8270</v>
      </c>
      <c r="F27" s="386" t="n"/>
      <c r="G27" s="386">
        <f>E27+F27</f>
        <v/>
      </c>
    </row>
    <row r="28">
      <c r="A28" s="187" t="inlineStr">
        <is>
          <t>付7月电费</t>
        </is>
      </c>
      <c r="B28" s="158" t="n">
        <v>8</v>
      </c>
      <c r="C28" s="159" t="n">
        <v>5716</v>
      </c>
      <c r="D28" s="385">
        <f>E28/C28</f>
        <v/>
      </c>
      <c r="E28" s="386" t="n">
        <v>5830</v>
      </c>
      <c r="F28" s="386" t="n"/>
      <c r="G28" s="386">
        <f>E28+F28</f>
        <v/>
      </c>
    </row>
    <row r="29">
      <c r="A29" s="188" t="inlineStr">
        <is>
          <t>付8月电费</t>
        </is>
      </c>
      <c r="B29" s="158" t="n">
        <v>9</v>
      </c>
      <c r="C29" s="159" t="n">
        <v>8657</v>
      </c>
      <c r="D29" s="385">
        <f>E29/C29</f>
        <v/>
      </c>
      <c r="E29" s="386" t="n">
        <v>8830</v>
      </c>
      <c r="F29" s="386" t="n"/>
      <c r="G29" s="386">
        <f>E29+F29</f>
        <v/>
      </c>
    </row>
    <row r="30">
      <c r="A30" s="57" t="inlineStr">
        <is>
          <t>付9月电费</t>
        </is>
      </c>
      <c r="B30" s="158" t="n">
        <v>10</v>
      </c>
      <c r="C30" s="159" t="n">
        <v>6152</v>
      </c>
      <c r="D30" s="385">
        <f>E30/C30</f>
        <v/>
      </c>
      <c r="E30" s="386" t="n">
        <v>6275</v>
      </c>
      <c r="F30" s="386" t="n"/>
      <c r="G30" s="386">
        <f>E30+F30</f>
        <v/>
      </c>
    </row>
    <row r="31">
      <c r="A31" s="57" t="inlineStr">
        <is>
          <t>付10月电费</t>
        </is>
      </c>
      <c r="B31" s="158" t="n">
        <v>11</v>
      </c>
      <c r="C31" s="159" t="n">
        <v>6647</v>
      </c>
      <c r="D31" s="385">
        <f>E31/C31</f>
        <v/>
      </c>
      <c r="E31" s="386" t="n">
        <v>6780</v>
      </c>
      <c r="F31" s="386" t="n"/>
      <c r="G31" s="386">
        <f>E31+F31</f>
        <v/>
      </c>
      <c r="I31" s="0" t="n">
        <v>3693.6</v>
      </c>
      <c r="J31" s="389">
        <f>K31/I31</f>
        <v/>
      </c>
      <c r="K31" s="0" t="n">
        <v>2667.77</v>
      </c>
    </row>
    <row r="32">
      <c r="A32" s="0" t="inlineStr">
        <is>
          <t>付11月电费</t>
        </is>
      </c>
      <c r="B32" s="158" t="n">
        <v>12</v>
      </c>
      <c r="C32" s="159" t="n">
        <v>6398</v>
      </c>
      <c r="D32" s="385">
        <f>E32/C32</f>
        <v/>
      </c>
      <c r="E32" s="386" t="n">
        <v>6525.96</v>
      </c>
      <c r="F32" s="386" t="n"/>
      <c r="G32" s="386">
        <f>E32+F32</f>
        <v/>
      </c>
      <c r="I32" s="0" t="n">
        <v>14638.8</v>
      </c>
      <c r="J32" s="389">
        <f>K32/I32</f>
        <v/>
      </c>
      <c r="K32" s="0" t="n">
        <v>10559.97</v>
      </c>
    </row>
    <row r="33">
      <c r="B33" s="162" t="n"/>
      <c r="C33" s="387">
        <f>SUM(C21:C32)</f>
        <v/>
      </c>
      <c r="D33" s="388">
        <f>E33/C33</f>
        <v/>
      </c>
      <c r="E33" s="387">
        <f>SUM(E21:E32)</f>
        <v/>
      </c>
      <c r="F33" s="387">
        <f>SUM(F21:F32)</f>
        <v/>
      </c>
      <c r="G33" s="387">
        <f>SUM(G21:G32)</f>
        <v/>
      </c>
      <c r="L33" s="66" t="inlineStr">
        <is>
          <t>当月月头</t>
        </is>
      </c>
      <c r="M33" s="66" t="n"/>
    </row>
    <row r="34">
      <c r="L34" s="66" t="inlineStr">
        <is>
          <t>揭阳市揭东区磐东洪运来机械厂</t>
        </is>
      </c>
      <c r="M34" s="66" t="n"/>
    </row>
    <row r="35">
      <c r="B35" s="260" t="inlineStr">
        <is>
          <t>2024年洪运来电费</t>
        </is>
      </c>
      <c r="L35" s="66" t="inlineStr">
        <is>
          <t>上月电费  度*0.785元/度=</t>
        </is>
      </c>
      <c r="M35" s="66" t="n"/>
    </row>
    <row r="36">
      <c r="B36" s="157" t="inlineStr">
        <is>
          <t>月份</t>
        </is>
      </c>
      <c r="C36" s="157" t="inlineStr">
        <is>
          <t>度数（KWH）</t>
        </is>
      </c>
      <c r="D36" s="157" t="inlineStr">
        <is>
          <t>单价</t>
        </is>
      </c>
      <c r="E36" s="157" t="inlineStr">
        <is>
          <t>金额（不含税</t>
        </is>
      </c>
      <c r="F36" s="157" t="inlineStr">
        <is>
          <t>税额</t>
        </is>
      </c>
      <c r="G36" s="157" t="inlineStr">
        <is>
          <t>金额（含税</t>
        </is>
      </c>
      <c r="L36" s="66" t="n"/>
      <c r="M36" s="66" t="inlineStr">
        <is>
          <t>李</t>
        </is>
      </c>
    </row>
    <row r="37">
      <c r="A37" s="165" t="inlineStr">
        <is>
          <t>付12月电费</t>
        </is>
      </c>
      <c r="B37" s="158" t="n">
        <v>1</v>
      </c>
      <c r="C37" s="159" t="n">
        <v>19500</v>
      </c>
      <c r="D37" s="385">
        <f>E37/C37</f>
        <v/>
      </c>
      <c r="E37" s="386" t="n">
        <v>14296.79</v>
      </c>
      <c r="F37" s="386" t="n"/>
      <c r="G37" s="386">
        <f>E37+F37</f>
        <v/>
      </c>
      <c r="I37" s="0">
        <f>C37*50</f>
        <v/>
      </c>
    </row>
    <row r="38">
      <c r="A38" s="57" t="inlineStr">
        <is>
          <t>付1月电费</t>
        </is>
      </c>
      <c r="B38" s="158" t="n">
        <v>2</v>
      </c>
      <c r="C38" s="159" t="n">
        <v>13535.6</v>
      </c>
      <c r="D38" s="385">
        <f>E38/C38</f>
        <v/>
      </c>
      <c r="E38" s="386" t="n">
        <v>8560.59</v>
      </c>
      <c r="F38" s="386" t="n">
        <v>1112.88</v>
      </c>
      <c r="G38" s="386">
        <f>E38+F38</f>
        <v/>
      </c>
      <c r="I38" s="0">
        <f>C38*50</f>
        <v/>
      </c>
    </row>
    <row r="39">
      <c r="A39" s="57" t="inlineStr">
        <is>
          <t>付2月电费</t>
        </is>
      </c>
      <c r="B39" s="158" t="n">
        <v>3</v>
      </c>
      <c r="C39" s="159" t="n">
        <v>2168</v>
      </c>
      <c r="D39" s="385">
        <f>E39/C39</f>
        <v/>
      </c>
      <c r="E39" s="386" t="n">
        <v>1406.83</v>
      </c>
      <c r="F39" s="386" t="n">
        <v>182.89</v>
      </c>
      <c r="G39" s="386">
        <f>E39+F39</f>
        <v/>
      </c>
      <c r="I39" s="0">
        <f>C39*50</f>
        <v/>
      </c>
    </row>
    <row r="40">
      <c r="A40" s="173" t="inlineStr">
        <is>
          <t>付3月电费</t>
        </is>
      </c>
      <c r="B40" s="158" t="n">
        <v>4</v>
      </c>
      <c r="C40" s="159" t="n">
        <v>15748</v>
      </c>
      <c r="D40" s="385">
        <f>E40/C40</f>
        <v/>
      </c>
      <c r="E40" s="386" t="n">
        <v>10058.77</v>
      </c>
      <c r="F40" s="386" t="n">
        <v>1307.64</v>
      </c>
      <c r="G40" s="386">
        <f>E40+F40</f>
        <v/>
      </c>
      <c r="I40" s="0">
        <f>C40*50</f>
        <v/>
      </c>
    </row>
    <row r="41">
      <c r="A41" s="57" t="inlineStr">
        <is>
          <t>付4月电费</t>
        </is>
      </c>
      <c r="B41" s="158" t="n">
        <v>5</v>
      </c>
      <c r="C41" s="159" t="n">
        <v>15079.6</v>
      </c>
      <c r="D41" s="385">
        <f>E41/C41</f>
        <v/>
      </c>
      <c r="E41" s="386" t="n">
        <v>9633.17</v>
      </c>
      <c r="F41" s="386" t="n">
        <v>1252.31</v>
      </c>
      <c r="G41" s="386">
        <f>E41+F41</f>
        <v/>
      </c>
      <c r="I41" s="0">
        <f>C41*50</f>
        <v/>
      </c>
    </row>
    <row r="42">
      <c r="A42" s="57" t="inlineStr">
        <is>
          <t>付5月电费</t>
        </is>
      </c>
      <c r="B42" s="158" t="n">
        <v>6</v>
      </c>
      <c r="C42" s="159" t="n">
        <v>15882.8</v>
      </c>
      <c r="D42" s="385">
        <f>E42/C42</f>
        <v/>
      </c>
      <c r="E42" s="386" t="n">
        <v>10147.67</v>
      </c>
      <c r="F42" s="386" t="n">
        <v>1319.2</v>
      </c>
      <c r="G42" s="386">
        <f>E42+F42</f>
        <v/>
      </c>
      <c r="I42" s="0">
        <f>C42*50</f>
        <v/>
      </c>
    </row>
    <row r="43">
      <c r="A43" s="57" t="inlineStr">
        <is>
          <t>付6月电费</t>
        </is>
      </c>
      <c r="B43" s="158" t="n">
        <v>7</v>
      </c>
      <c r="C43" s="159" t="n">
        <v>12502.8</v>
      </c>
      <c r="D43" s="385">
        <f>E43/C43</f>
        <v/>
      </c>
      <c r="E43" s="386" t="n">
        <v>7645.17</v>
      </c>
      <c r="F43" s="386" t="n">
        <v>993.87</v>
      </c>
      <c r="G43" s="386">
        <f>E43+F43</f>
        <v/>
      </c>
      <c r="I43" s="0">
        <f>C43*50</f>
        <v/>
      </c>
    </row>
    <row r="44">
      <c r="A44" s="187" t="inlineStr">
        <is>
          <t>付7月电费</t>
        </is>
      </c>
      <c r="B44" s="158" t="n">
        <v>8</v>
      </c>
      <c r="C44" s="159" t="n">
        <v>14659.2</v>
      </c>
      <c r="D44" s="385">
        <f>E44/C44</f>
        <v/>
      </c>
      <c r="E44" s="386" t="n">
        <v>9001.379999999999</v>
      </c>
      <c r="F44" s="386" t="n">
        <v>1170.18</v>
      </c>
      <c r="G44" s="386">
        <f>E44+F44</f>
        <v/>
      </c>
      <c r="I44" s="0">
        <f>C44*50</f>
        <v/>
      </c>
    </row>
    <row r="45">
      <c r="A45" s="188" t="inlineStr">
        <is>
          <t>付8月电费</t>
        </is>
      </c>
      <c r="B45" s="158" t="n">
        <v>9</v>
      </c>
      <c r="C45" s="159" t="n">
        <v>15394.4</v>
      </c>
      <c r="D45" s="385">
        <f>E45/C45</f>
        <v/>
      </c>
      <c r="E45" s="386" t="n">
        <v>9669.43</v>
      </c>
      <c r="F45" s="386" t="n">
        <v>1257.03</v>
      </c>
      <c r="G45" s="386">
        <f>E45+F45</f>
        <v/>
      </c>
      <c r="I45" s="0">
        <f>C45*50</f>
        <v/>
      </c>
    </row>
    <row r="46">
      <c r="A46" s="57" t="inlineStr">
        <is>
          <t>付9月电费</t>
        </is>
      </c>
      <c r="B46" s="158" t="n">
        <v>10</v>
      </c>
      <c r="C46" s="159" t="n">
        <v>13717.6</v>
      </c>
      <c r="D46" s="385">
        <f>E46/C46</f>
        <v/>
      </c>
      <c r="E46" s="386" t="n">
        <v>8632</v>
      </c>
      <c r="F46" s="386" t="n">
        <v>1122.16</v>
      </c>
      <c r="G46" s="386">
        <f>E46+F46</f>
        <v/>
      </c>
      <c r="I46" s="0">
        <f>C46*50</f>
        <v/>
      </c>
    </row>
    <row r="47">
      <c r="A47" s="57" t="inlineStr">
        <is>
          <t>付10月电费</t>
        </is>
      </c>
      <c r="B47" s="158" t="n">
        <v>11</v>
      </c>
      <c r="C47" s="159" t="n">
        <v>14601.6</v>
      </c>
      <c r="D47" s="385">
        <f>E47/C47</f>
        <v/>
      </c>
      <c r="E47" s="386" t="n">
        <v>9234.790000000001</v>
      </c>
      <c r="F47" s="386" t="n">
        <v>1200.52</v>
      </c>
      <c r="G47" s="386">
        <f>E47+F47</f>
        <v/>
      </c>
      <c r="I47" s="0">
        <f>C47*50</f>
        <v/>
      </c>
    </row>
    <row r="48">
      <c r="A48" s="0" t="inlineStr">
        <is>
          <t>付11月电费</t>
        </is>
      </c>
      <c r="B48" s="158" t="n">
        <v>12</v>
      </c>
      <c r="C48" s="159" t="n">
        <v>13686.8</v>
      </c>
      <c r="D48" s="385">
        <f>E48/C48</f>
        <v/>
      </c>
      <c r="E48" s="386" t="n">
        <v>8508.450000000001</v>
      </c>
      <c r="F48" s="386" t="n">
        <v>1106.1</v>
      </c>
      <c r="G48" s="386">
        <f>E48+F48</f>
        <v/>
      </c>
      <c r="I48" s="0">
        <f>C48*50</f>
        <v/>
      </c>
    </row>
    <row r="49">
      <c r="B49" s="162" t="n"/>
      <c r="C49" s="387">
        <f>SUM(C37:C48)</f>
        <v/>
      </c>
      <c r="D49" s="388">
        <f>E49/C49</f>
        <v/>
      </c>
      <c r="E49" s="387">
        <f>SUM(E37:E48)</f>
        <v/>
      </c>
      <c r="F49" s="387">
        <f>SUM(F37:F48)</f>
        <v/>
      </c>
      <c r="G49" s="387">
        <f>SUM(G37:G48)</f>
        <v/>
      </c>
      <c r="I49" s="0">
        <f>SUM(I37:I48)</f>
        <v/>
      </c>
      <c r="J49" s="155" t="n">
        <v>9028864.460000001</v>
      </c>
      <c r="K49" s="171">
        <f>J49/C49</f>
        <v/>
      </c>
    </row>
    <row r="50">
      <c r="I50" s="66" t="n"/>
      <c r="J50" s="66" t="n"/>
    </row>
    <row r="51">
      <c r="B51" s="260" t="inlineStr">
        <is>
          <t>2025年洪运来电费</t>
        </is>
      </c>
    </row>
    <row r="52">
      <c r="B52" s="157" t="inlineStr">
        <is>
          <t>月份</t>
        </is>
      </c>
      <c r="C52" s="157" t="inlineStr">
        <is>
          <t>度数（KWH）</t>
        </is>
      </c>
      <c r="D52" s="157" t="inlineStr">
        <is>
          <t>单价</t>
        </is>
      </c>
      <c r="E52" s="157" t="inlineStr">
        <is>
          <t>金额（不含税</t>
        </is>
      </c>
      <c r="F52" s="157" t="inlineStr">
        <is>
          <t>税额</t>
        </is>
      </c>
      <c r="G52" s="157" t="inlineStr">
        <is>
          <t>金额（含税</t>
        </is>
      </c>
    </row>
    <row r="53">
      <c r="A53" s="165" t="inlineStr">
        <is>
          <t>付12月电费</t>
        </is>
      </c>
      <c r="B53" s="158" t="n">
        <v>1</v>
      </c>
      <c r="C53" s="225" t="n">
        <v>14585.2</v>
      </c>
      <c r="D53" s="385">
        <f>E53/C53</f>
        <v/>
      </c>
      <c r="E53" s="386" t="n">
        <v>9216.66</v>
      </c>
      <c r="F53" s="386" t="n">
        <v>1198.17</v>
      </c>
      <c r="G53" s="386">
        <f>E53+F53</f>
        <v/>
      </c>
      <c r="I53" s="0">
        <f>C53*50</f>
        <v/>
      </c>
    </row>
    <row r="54">
      <c r="A54" s="57" t="inlineStr">
        <is>
          <t>付1月电费</t>
        </is>
      </c>
      <c r="B54" s="158" t="n">
        <v>2</v>
      </c>
      <c r="C54" s="225" t="n">
        <v>9111.200000000001</v>
      </c>
      <c r="D54" s="385">
        <f>E54/C54</f>
        <v/>
      </c>
      <c r="E54" s="386" t="n">
        <v>5804.31</v>
      </c>
      <c r="F54" s="386" t="n">
        <v>754.5599999999999</v>
      </c>
      <c r="G54" s="386">
        <f>E54+F54</f>
        <v/>
      </c>
      <c r="I54" s="0">
        <f>C54*50</f>
        <v/>
      </c>
    </row>
    <row r="55">
      <c r="A55" s="57" t="inlineStr">
        <is>
          <t>付2月电费</t>
        </is>
      </c>
      <c r="B55" s="158" t="n">
        <v>3</v>
      </c>
      <c r="C55" s="225" t="n">
        <v>6703.6</v>
      </c>
      <c r="D55" s="385">
        <f>E55/C55</f>
        <v/>
      </c>
      <c r="E55" s="386" t="n">
        <v>4337.58</v>
      </c>
      <c r="F55" s="386" t="n">
        <v>563.89</v>
      </c>
      <c r="G55" s="386">
        <f>E55+F55</f>
        <v/>
      </c>
      <c r="I55" s="0">
        <f>C55*50</f>
        <v/>
      </c>
    </row>
    <row r="56">
      <c r="A56" s="173" t="inlineStr">
        <is>
          <t>付3月电费</t>
        </is>
      </c>
      <c r="B56" s="158" t="n">
        <v>4</v>
      </c>
      <c r="C56" s="225" t="n">
        <v>16442</v>
      </c>
      <c r="D56" s="385">
        <f>E56/C56</f>
        <v/>
      </c>
      <c r="E56" s="386" t="n">
        <v>10280.88</v>
      </c>
      <c r="F56" s="386" t="n">
        <v>1336.52</v>
      </c>
      <c r="G56" s="386">
        <f>E56+F56</f>
        <v/>
      </c>
      <c r="I56" s="0">
        <f>C56*50</f>
        <v/>
      </c>
    </row>
    <row r="57">
      <c r="A57" s="57" t="inlineStr">
        <is>
          <t>付4月电费</t>
        </is>
      </c>
      <c r="B57" s="158" t="n">
        <v>5</v>
      </c>
      <c r="C57" s="225" t="n">
        <v>14260</v>
      </c>
      <c r="D57" s="385">
        <f>E57/C57</f>
        <v/>
      </c>
      <c r="E57" s="386" t="n">
        <v>8929.139999999999</v>
      </c>
      <c r="F57" s="386" t="n">
        <v>1160.79</v>
      </c>
      <c r="G57" s="386">
        <f>E57+F57</f>
        <v/>
      </c>
      <c r="I57" s="0">
        <f>C57*50</f>
        <v/>
      </c>
    </row>
    <row r="58">
      <c r="A58" s="57" t="inlineStr">
        <is>
          <t>付5月电费</t>
        </is>
      </c>
      <c r="B58" s="158" t="n">
        <v>6</v>
      </c>
      <c r="C58" s="225" t="n">
        <v>12711.6</v>
      </c>
      <c r="D58" s="385">
        <f>E58/C58</f>
        <v/>
      </c>
      <c r="E58" s="386" t="n">
        <v>8158.7</v>
      </c>
      <c r="F58" s="386" t="n">
        <v>1060.63</v>
      </c>
      <c r="G58" s="386">
        <f>E58+F58</f>
        <v/>
      </c>
      <c r="I58" s="0">
        <f>C58*50</f>
        <v/>
      </c>
    </row>
    <row r="59">
      <c r="A59" s="57" t="inlineStr">
        <is>
          <t>付6月电费</t>
        </is>
      </c>
      <c r="B59" s="158" t="n">
        <v>7</v>
      </c>
      <c r="C59" s="225" t="n">
        <v>14099.6</v>
      </c>
      <c r="D59" s="385">
        <f>E59/C59</f>
        <v/>
      </c>
      <c r="E59" s="386" t="n">
        <v>8740.110000000001</v>
      </c>
      <c r="F59" s="386" t="n">
        <v>1136.21</v>
      </c>
      <c r="G59" s="386">
        <f>E59+F59</f>
        <v/>
      </c>
      <c r="I59" s="0">
        <f>C59*50</f>
        <v/>
      </c>
    </row>
    <row r="60">
      <c r="A60" s="187" t="inlineStr">
        <is>
          <t>付7月电费</t>
        </is>
      </c>
      <c r="B60" s="158" t="n">
        <v>8</v>
      </c>
      <c r="C60" s="225" t="n">
        <v>12654</v>
      </c>
      <c r="D60" s="385">
        <f>E60/C60</f>
        <v/>
      </c>
      <c r="E60" s="386" t="n">
        <v>7622.28</v>
      </c>
      <c r="F60" s="386" t="n">
        <v>990.9</v>
      </c>
      <c r="G60" s="386">
        <f>E60+F60</f>
        <v/>
      </c>
      <c r="I60" s="0">
        <f>C60*50</f>
        <v/>
      </c>
    </row>
    <row r="61">
      <c r="A61" s="188" t="inlineStr">
        <is>
          <t>付8月电费</t>
        </is>
      </c>
      <c r="B61" s="158" t="n">
        <v>9</v>
      </c>
      <c r="C61" s="225" t="n">
        <v>14051.2</v>
      </c>
      <c r="D61" s="385">
        <f>E61/C61</f>
        <v/>
      </c>
      <c r="E61" s="386" t="n">
        <v>8759.85</v>
      </c>
      <c r="F61" s="386" t="n">
        <v>1138.78</v>
      </c>
      <c r="G61" s="386">
        <f>E61+F61</f>
        <v/>
      </c>
      <c r="I61" s="0">
        <f>C61*50</f>
        <v/>
      </c>
    </row>
    <row r="62">
      <c r="A62" s="57" t="inlineStr">
        <is>
          <t>付9月电费</t>
        </is>
      </c>
      <c r="B62" s="158" t="n">
        <v>10</v>
      </c>
      <c r="C62" s="225" t="n">
        <v>13541.2</v>
      </c>
      <c r="D62" s="385">
        <f>E62/C62</f>
        <v/>
      </c>
      <c r="E62" s="386" t="n">
        <v>8621.66</v>
      </c>
      <c r="F62" s="386" t="n">
        <v>1120.82</v>
      </c>
      <c r="G62" s="386">
        <f>E62+F62</f>
        <v/>
      </c>
      <c r="I62" s="0">
        <f>C62*50</f>
        <v/>
      </c>
    </row>
    <row r="63">
      <c r="A63" s="57" t="inlineStr">
        <is>
          <t>付10月电费</t>
        </is>
      </c>
      <c r="B63" s="158" t="n">
        <v>11</v>
      </c>
      <c r="C63" s="225" t="n">
        <v>14225.6</v>
      </c>
      <c r="D63" s="385">
        <f>E63/C63</f>
        <v/>
      </c>
      <c r="E63" s="386" t="n">
        <v>9054.9</v>
      </c>
      <c r="F63" s="386" t="n">
        <v>1177.14</v>
      </c>
      <c r="G63" s="386">
        <f>E63+F63</f>
        <v/>
      </c>
      <c r="I63" s="0">
        <f>C63*50</f>
        <v/>
      </c>
    </row>
    <row r="64">
      <c r="A64" s="0" t="inlineStr">
        <is>
          <t>付11月电费</t>
        </is>
      </c>
      <c r="B64" s="158" t="n">
        <v>12</v>
      </c>
      <c r="C64" s="225" t="n">
        <v>13584.8</v>
      </c>
      <c r="D64" s="385">
        <f>E64/C64</f>
        <v/>
      </c>
      <c r="E64" s="386" t="n">
        <v>8372.91</v>
      </c>
      <c r="F64" s="386" t="n">
        <v>1088.48</v>
      </c>
      <c r="G64" s="386">
        <f>E64+F64</f>
        <v/>
      </c>
      <c r="I64" s="0">
        <f>C64*50</f>
        <v/>
      </c>
    </row>
    <row r="65">
      <c r="B65" s="162" t="n"/>
      <c r="C65" s="387">
        <f>SUM(C53:C64)</f>
        <v/>
      </c>
      <c r="D65" s="388">
        <f>E65/C65</f>
        <v/>
      </c>
      <c r="E65" s="387">
        <f>SUM(E53:E64)</f>
        <v/>
      </c>
      <c r="F65" s="387">
        <f>SUM(F53:F64)</f>
        <v/>
      </c>
      <c r="G65" s="387">
        <f>SUM(G53:G64)</f>
        <v/>
      </c>
      <c r="I65" s="0">
        <f>SUM(I53:I64)</f>
        <v/>
      </c>
      <c r="J65" s="155" t="n">
        <v>8369391.98</v>
      </c>
      <c r="K65" s="171">
        <f>J65/C65</f>
        <v/>
      </c>
    </row>
  </sheetData>
  <mergeCells count="4">
    <mergeCell ref="B3:G3"/>
    <mergeCell ref="B19:G19"/>
    <mergeCell ref="B35:G35"/>
    <mergeCell ref="B51:G51"/>
  </mergeCells>
  <pageMargins left="0.7" right="0.7" top="0.75" bottom="0.75" header="0.3" footer="0.3"/>
  <pageSetup orientation="portrait" paperSize="9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Y151"/>
  <sheetViews>
    <sheetView topLeftCell="A104" zoomScale="85" zoomScaleNormal="85" workbookViewId="0">
      <selection activeCell="P136" sqref="P136:P137"/>
    </sheetView>
  </sheetViews>
  <sheetFormatPr baseColWidth="8" defaultRowHeight="15.6"/>
  <cols>
    <col width="11.69921875" customWidth="1" style="264" min="2" max="2"/>
    <col width="5.59765625" bestFit="1" customWidth="1" style="264" min="3" max="3"/>
    <col width="10.09765625" bestFit="1" customWidth="1" style="264" min="4" max="5"/>
    <col width="12.296875" bestFit="1" customWidth="1" style="264" min="6" max="6"/>
    <col width="13.5" bestFit="1" customWidth="1" style="264" min="7" max="7"/>
    <col width="10.09765625" bestFit="1" customWidth="1" style="264" min="8" max="8"/>
    <col width="12.296875" customWidth="1" style="264" min="9" max="9"/>
    <col width="11" customWidth="1" style="264" min="10" max="10"/>
    <col width="12.296875" bestFit="1" customWidth="1" style="264" min="11" max="11"/>
    <col width="13.5" bestFit="1" customWidth="1" style="264" min="12" max="12"/>
    <col width="16.19921875" bestFit="1" customWidth="1" style="264" min="13" max="13"/>
    <col width="12.296875" bestFit="1" customWidth="1" style="264" min="14" max="15"/>
    <col width="5.5" bestFit="1" customWidth="1" style="264" min="16" max="16"/>
    <col width="16.09765625" bestFit="1" customWidth="1" style="264" min="18" max="19"/>
    <col width="3.5" bestFit="1" customWidth="1" style="264" min="20" max="20"/>
    <col width="8" bestFit="1" customWidth="1" style="264" min="21" max="21"/>
    <col width="8.5" bestFit="1" customWidth="1" style="264" min="22" max="22"/>
    <col width="11.59765625" bestFit="1" customWidth="1" style="264" min="23" max="24"/>
    <col width="10.5" bestFit="1" customWidth="1" style="264" min="25" max="25"/>
  </cols>
  <sheetData>
    <row r="2">
      <c r="B2" s="301" t="inlineStr">
        <is>
          <t>品名</t>
        </is>
      </c>
      <c r="C2" s="301" t="inlineStr">
        <is>
          <t>单位</t>
        </is>
      </c>
      <c r="D2" s="301" t="inlineStr">
        <is>
          <t>上月结存</t>
        </is>
      </c>
      <c r="E2" s="267" t="n"/>
      <c r="F2" s="266" t="n"/>
      <c r="G2" s="301" t="inlineStr">
        <is>
          <t>本月进仓数</t>
        </is>
      </c>
      <c r="H2" s="267" t="n"/>
      <c r="I2" s="266" t="n"/>
      <c r="J2" s="301" t="inlineStr">
        <is>
          <t>本月发出数</t>
        </is>
      </c>
      <c r="K2" s="267" t="n"/>
      <c r="L2" s="266" t="n"/>
      <c r="M2" s="301" t="inlineStr">
        <is>
          <t>本月结余</t>
        </is>
      </c>
      <c r="N2" s="267" t="n"/>
      <c r="O2" s="266" t="n"/>
      <c r="P2" s="301" t="inlineStr">
        <is>
          <t>备注</t>
        </is>
      </c>
    </row>
    <row r="3">
      <c r="B3" s="268" t="n"/>
      <c r="C3" s="268" t="n"/>
      <c r="D3" s="301" t="inlineStr">
        <is>
          <t>数量</t>
        </is>
      </c>
      <c r="E3" s="301" t="inlineStr">
        <is>
          <t>单价</t>
        </is>
      </c>
      <c r="F3" s="301" t="inlineStr">
        <is>
          <t>金额</t>
        </is>
      </c>
      <c r="G3" s="301" t="inlineStr">
        <is>
          <t>数量</t>
        </is>
      </c>
      <c r="H3" s="301" t="inlineStr">
        <is>
          <t>单价</t>
        </is>
      </c>
      <c r="I3" s="301" t="inlineStr">
        <is>
          <t>金额</t>
        </is>
      </c>
      <c r="J3" s="301" t="inlineStr">
        <is>
          <t>数量</t>
        </is>
      </c>
      <c r="K3" s="301" t="inlineStr">
        <is>
          <t>单价</t>
        </is>
      </c>
      <c r="L3" s="301" t="inlineStr">
        <is>
          <t>金额</t>
        </is>
      </c>
      <c r="M3" s="301" t="inlineStr">
        <is>
          <t>数量</t>
        </is>
      </c>
      <c r="N3" s="301" t="inlineStr">
        <is>
          <t>单价</t>
        </is>
      </c>
      <c r="O3" s="301" t="inlineStr">
        <is>
          <t>金额</t>
        </is>
      </c>
      <c r="P3" s="268" t="n"/>
    </row>
    <row r="4">
      <c r="B4" s="301" t="inlineStr">
        <is>
          <t>带钢</t>
        </is>
      </c>
      <c r="C4" s="301" t="inlineStr">
        <is>
          <t>吨</t>
        </is>
      </c>
      <c r="D4" s="301" t="n">
        <v>89.063</v>
      </c>
      <c r="E4" s="301" t="n">
        <v>3913.43745438622</v>
      </c>
      <c r="F4" s="301" t="n">
        <v>348542.48</v>
      </c>
      <c r="G4" s="302" t="n">
        <v>178.262</v>
      </c>
      <c r="H4" s="303" t="n">
        <v>3720.79360716249</v>
      </c>
      <c r="I4" s="303" t="n">
        <v>663276.1099999999</v>
      </c>
      <c r="J4" s="302" t="n">
        <v>180.64</v>
      </c>
      <c r="K4" s="304" t="n">
        <v>3784.975554100813</v>
      </c>
      <c r="L4" s="303" t="n">
        <v>683717.9840927708</v>
      </c>
      <c r="M4" s="302" t="n">
        <v>86.685</v>
      </c>
      <c r="N4" s="303" t="n">
        <v>3784.975554100813</v>
      </c>
      <c r="O4" s="303" t="n">
        <v>328100.605907229</v>
      </c>
      <c r="P4" s="318" t="inlineStr">
        <is>
          <t>5月</t>
        </is>
      </c>
    </row>
    <row r="5">
      <c r="B5" s="307" t="inlineStr">
        <is>
          <t>镀铝锌卷板</t>
        </is>
      </c>
      <c r="C5" s="301" t="inlineStr">
        <is>
          <t>吨</t>
        </is>
      </c>
      <c r="D5" s="301" t="n"/>
      <c r="E5" s="301" t="n"/>
      <c r="F5" s="303" t="n"/>
      <c r="G5" s="302" t="n">
        <v>7.745</v>
      </c>
      <c r="H5" s="303" t="n">
        <v>4010.581020012912</v>
      </c>
      <c r="I5" s="303" t="n">
        <v>31061.95</v>
      </c>
      <c r="J5" s="302" t="n">
        <v>7.745</v>
      </c>
      <c r="K5" s="304" t="n">
        <v>4010.581020012912</v>
      </c>
      <c r="L5" s="303" t="n">
        <v>31061.95</v>
      </c>
      <c r="M5" s="302" t="n">
        <v>0</v>
      </c>
      <c r="N5" s="303" t="e">
        <v>#DIV/0!</v>
      </c>
      <c r="O5" s="303" t="n">
        <v>0</v>
      </c>
      <c r="P5" s="318" t="inlineStr">
        <is>
          <t>5月</t>
        </is>
      </c>
    </row>
    <row r="6">
      <c r="B6" s="301" t="n"/>
      <c r="C6" s="301" t="n"/>
      <c r="D6" s="301" t="n"/>
      <c r="E6" s="301" t="n"/>
      <c r="F6" s="301" t="n"/>
      <c r="G6" s="302" t="n"/>
      <c r="H6" s="303" t="n"/>
      <c r="I6" s="303" t="n"/>
      <c r="J6" s="302" t="n"/>
      <c r="K6" s="304" t="n"/>
      <c r="L6" s="303" t="n"/>
      <c r="M6" s="302" t="n"/>
      <c r="N6" s="303" t="n"/>
      <c r="O6" s="303" t="n"/>
      <c r="P6" s="318" t="n"/>
    </row>
    <row r="7">
      <c r="B7" s="301" t="n"/>
      <c r="C7" s="301" t="n"/>
      <c r="D7" s="301" t="n"/>
      <c r="E7" s="301" t="n"/>
      <c r="F7" s="301" t="n"/>
      <c r="G7" s="302" t="n"/>
      <c r="H7" s="303" t="n"/>
      <c r="I7" s="303" t="n"/>
      <c r="J7" s="302" t="n"/>
      <c r="K7" s="304" t="n"/>
      <c r="L7" s="303" t="n"/>
      <c r="M7" s="302" t="n"/>
      <c r="N7" s="303" t="n"/>
      <c r="O7" s="303" t="n"/>
      <c r="P7" s="318" t="n"/>
    </row>
    <row r="12">
      <c r="H12" s="324" t="n"/>
      <c r="I12" s="324" t="n"/>
      <c r="J12" s="326">
        <f>SUM(J4:J7)</f>
        <v/>
      </c>
      <c r="K12" s="325">
        <f>L12/J12</f>
        <v/>
      </c>
      <c r="L12" s="324">
        <f>SUM(L4:L7)</f>
        <v/>
      </c>
      <c r="M12" s="324" t="n"/>
      <c r="N12" s="324" t="n"/>
      <c r="O12" s="324">
        <f>测算表!H20/0.13-O8</f>
        <v/>
      </c>
      <c r="P12" s="298" t="n"/>
    </row>
    <row r="13">
      <c r="H13" s="324" t="n"/>
      <c r="I13" s="324" t="n"/>
      <c r="J13" s="326">
        <f>J12*0.09</f>
        <v/>
      </c>
      <c r="K13" s="298" t="n">
        <v>2930</v>
      </c>
      <c r="L13" s="298">
        <f>J13*K13</f>
        <v/>
      </c>
      <c r="M13" s="324" t="n"/>
      <c r="N13" s="324" t="n"/>
      <c r="O13" s="324" t="n"/>
      <c r="P13" s="298" t="n"/>
    </row>
    <row r="14">
      <c r="H14" s="324" t="n"/>
      <c r="I14" s="390" t="n"/>
      <c r="J14" s="324" t="n"/>
      <c r="K14" s="298" t="n"/>
      <c r="L14" s="298" t="n"/>
      <c r="M14" s="324" t="n"/>
      <c r="N14" s="324" t="n"/>
      <c r="O14" s="324" t="n"/>
      <c r="P14" s="298" t="n"/>
    </row>
    <row r="15">
      <c r="H15" s="324" t="n"/>
      <c r="I15" s="324" t="n"/>
      <c r="J15" s="324" t="n"/>
      <c r="K15" s="324" t="n"/>
      <c r="L15" s="324" t="n"/>
      <c r="M15" s="324" t="n"/>
      <c r="N15" s="324" t="n"/>
      <c r="O15" s="324" t="n"/>
      <c r="P15" s="298" t="n"/>
    </row>
    <row r="16">
      <c r="H16" s="324" t="n"/>
      <c r="I16" s="324" t="n"/>
      <c r="J16" s="324" t="n"/>
      <c r="K16" s="324" t="n"/>
      <c r="L16" s="391" t="n"/>
      <c r="M16" s="324" t="n"/>
      <c r="N16" s="324" t="n"/>
      <c r="O16" s="324" t="n"/>
      <c r="P16" s="298" t="n"/>
    </row>
    <row r="17">
      <c r="H17" s="324" t="n"/>
      <c r="I17" s="392" t="inlineStr">
        <is>
          <t>废料销售</t>
        </is>
      </c>
      <c r="J17" s="393" t="n">
        <v>7</v>
      </c>
      <c r="K17" s="394" t="n">
        <v>2700</v>
      </c>
      <c r="L17" s="394" t="n">
        <v>18900</v>
      </c>
      <c r="M17" s="395" t="inlineStr">
        <is>
          <t>4月未销售废料</t>
        </is>
      </c>
      <c r="N17" s="324" t="n"/>
      <c r="O17" s="324" t="n"/>
      <c r="P17" s="298" t="n"/>
    </row>
    <row r="18">
      <c r="H18" s="324" t="n"/>
      <c r="I18" s="392" t="inlineStr">
        <is>
          <t>废料销售</t>
        </is>
      </c>
      <c r="J18" s="393" t="n">
        <v>18.5</v>
      </c>
      <c r="K18" s="394" t="n">
        <v>2886.05027027027</v>
      </c>
      <c r="L18" s="394" t="n">
        <v>53391.93</v>
      </c>
      <c r="M18" s="395" t="inlineStr">
        <is>
          <t>5月未销售废料</t>
        </is>
      </c>
      <c r="N18" s="324" t="n"/>
      <c r="O18" s="324" t="n"/>
      <c r="P18" s="298" t="n"/>
    </row>
    <row r="19">
      <c r="H19" s="324" t="n"/>
      <c r="I19" s="392" t="inlineStr">
        <is>
          <t>废料销售</t>
        </is>
      </c>
      <c r="J19" s="393" t="n">
        <v>3.375</v>
      </c>
      <c r="K19" s="394" t="n">
        <v>2834.97784150156</v>
      </c>
      <c r="L19" s="394" t="n">
        <v>9568.050215067764</v>
      </c>
      <c r="M19" s="395" t="inlineStr">
        <is>
          <t>6月未销售废料</t>
        </is>
      </c>
      <c r="N19" s="324" t="n"/>
      <c r="O19" s="324" t="n"/>
      <c r="P19" s="298" t="n"/>
    </row>
    <row r="20">
      <c r="H20" s="324" t="n"/>
      <c r="I20" s="392" t="inlineStr">
        <is>
          <t>废料销售</t>
        </is>
      </c>
      <c r="J20" s="393" t="n">
        <v>1.7919</v>
      </c>
      <c r="K20" s="394" t="n">
        <v>2834.97784150156</v>
      </c>
      <c r="L20" s="394" t="n">
        <v>5079.99679418665</v>
      </c>
      <c r="M20" s="395" t="inlineStr">
        <is>
          <t>7月未销售废料</t>
        </is>
      </c>
      <c r="N20" s="324" t="n"/>
      <c r="O20" s="324" t="n"/>
      <c r="P20" s="298" t="n"/>
    </row>
    <row r="21">
      <c r="H21" s="324" t="n"/>
      <c r="I21" s="392" t="inlineStr">
        <is>
          <t>废料销售</t>
        </is>
      </c>
      <c r="J21" s="396" t="n">
        <v>6.42321</v>
      </c>
      <c r="K21" s="397" t="n">
        <v>2834.97784150156</v>
      </c>
      <c r="L21" s="397" t="n">
        <v>18209.66</v>
      </c>
      <c r="M21" s="395" t="inlineStr">
        <is>
          <t>8月未销售废料</t>
        </is>
      </c>
      <c r="N21" s="324" t="n"/>
      <c r="O21" s="324" t="n"/>
      <c r="P21" s="298" t="n"/>
    </row>
    <row r="22">
      <c r="H22" s="324" t="n"/>
      <c r="I22" s="392" t="inlineStr">
        <is>
          <t>废料销售</t>
        </is>
      </c>
      <c r="J22" s="396" t="n">
        <v>10.06848</v>
      </c>
      <c r="K22" s="397">
        <f>L22/J22</f>
        <v/>
      </c>
      <c r="L22" s="397" t="n">
        <v>28543.92</v>
      </c>
      <c r="M22" s="395" t="inlineStr">
        <is>
          <t>9月未销售废料</t>
        </is>
      </c>
      <c r="N22" s="324" t="n"/>
      <c r="O22" s="324" t="n"/>
      <c r="P22" s="298" t="n"/>
    </row>
    <row r="23">
      <c r="H23" s="324" t="n"/>
      <c r="I23" s="392" t="inlineStr">
        <is>
          <t>废料销售</t>
        </is>
      </c>
      <c r="J23" s="396" t="n">
        <v>10.22121</v>
      </c>
      <c r="K23" s="397" t="n">
        <v>2834.97784150156</v>
      </c>
      <c r="L23" s="397" t="n">
        <v>28976.9</v>
      </c>
      <c r="M23" s="395" t="inlineStr">
        <is>
          <t>10月未销售废料</t>
        </is>
      </c>
      <c r="N23" s="324" t="n"/>
      <c r="O23" s="324" t="n"/>
      <c r="P23" s="298" t="n"/>
    </row>
    <row r="24">
      <c r="H24" s="324" t="n"/>
      <c r="I24" s="392" t="inlineStr">
        <is>
          <t>废料销售</t>
        </is>
      </c>
      <c r="J24" s="396" t="n">
        <v>16.785</v>
      </c>
      <c r="K24" s="397">
        <f>L24/J24</f>
        <v/>
      </c>
      <c r="L24" s="397" t="n">
        <v>47585.11</v>
      </c>
      <c r="M24" s="395" t="inlineStr">
        <is>
          <t>11月未销售废料</t>
        </is>
      </c>
      <c r="N24" s="324" t="n"/>
      <c r="O24" s="324" t="n"/>
      <c r="P24" s="298" t="n"/>
    </row>
    <row r="25">
      <c r="H25" s="324" t="n"/>
      <c r="I25" s="392" t="inlineStr">
        <is>
          <t>废料销售</t>
        </is>
      </c>
      <c r="J25" s="396" t="n">
        <v>19.075</v>
      </c>
      <c r="K25" s="397">
        <f>L25/J25</f>
        <v/>
      </c>
      <c r="L25" s="397" t="n">
        <v>62937.05</v>
      </c>
      <c r="M25" s="395" t="inlineStr">
        <is>
          <t>12月未销售废料</t>
        </is>
      </c>
      <c r="N25" s="324" t="n"/>
      <c r="O25" s="324" t="n"/>
      <c r="P25" s="298" t="n"/>
    </row>
    <row r="26">
      <c r="H26" s="324" t="n"/>
      <c r="I26" s="324" t="n"/>
      <c r="J26" s="324" t="n"/>
      <c r="K26" s="324" t="n"/>
      <c r="L26" s="308" t="n"/>
      <c r="M26" s="324" t="n"/>
      <c r="N26" s="324" t="n"/>
      <c r="O26" s="324" t="n"/>
      <c r="P26" s="298" t="n"/>
    </row>
    <row r="27">
      <c r="H27" s="324" t="n"/>
      <c r="I27" s="324" t="n"/>
      <c r="J27" s="326">
        <f>SUM(J17:J26)</f>
        <v/>
      </c>
      <c r="K27" s="324">
        <f>2930</f>
        <v/>
      </c>
      <c r="L27" s="324">
        <f>SUM(L17:L26)</f>
        <v/>
      </c>
      <c r="M27" s="324" t="n"/>
      <c r="N27" s="298">
        <f>L27/1.13</f>
        <v/>
      </c>
      <c r="O27" s="324">
        <f>生产成本月结表!F11</f>
        <v/>
      </c>
      <c r="P27" s="298" t="n"/>
    </row>
    <row r="28">
      <c r="H28" s="324" t="n"/>
      <c r="I28" s="324" t="n"/>
      <c r="J28" s="324" t="n"/>
      <c r="K28" s="324" t="n"/>
      <c r="L28" s="308">
        <f>J27*K27-L17-L18-L19-L20-L21-L22-L23-L24</f>
        <v/>
      </c>
      <c r="M28" s="324" t="n"/>
      <c r="N28" s="298" t="n"/>
      <c r="O28" s="324">
        <f>N27-O27</f>
        <v/>
      </c>
      <c r="P28" s="298" t="n"/>
    </row>
    <row r="29">
      <c r="H29" s="324" t="n"/>
      <c r="I29" s="324" t="n"/>
      <c r="J29" s="324" t="n"/>
      <c r="K29" s="324" t="n"/>
      <c r="L29" s="324" t="n"/>
      <c r="M29" s="324" t="n"/>
      <c r="N29" s="324" t="n"/>
      <c r="O29" s="324" t="n"/>
      <c r="P29" s="298" t="n"/>
    </row>
    <row r="30">
      <c r="H30" s="324" t="n"/>
      <c r="I30" s="324" t="n"/>
      <c r="J30" s="398" t="n">
        <v>85.324</v>
      </c>
      <c r="K30" s="324">
        <f>L30/J30</f>
        <v/>
      </c>
      <c r="L30" s="356" t="n">
        <v>250000</v>
      </c>
      <c r="M30" s="324" t="n"/>
      <c r="N30" s="298">
        <f>L30/1.13</f>
        <v/>
      </c>
      <c r="O30" s="324" t="n"/>
      <c r="P30" s="298" t="n"/>
    </row>
    <row r="31">
      <c r="H31" s="324" t="n"/>
      <c r="I31" s="324" t="inlineStr">
        <is>
          <t>废料销售</t>
        </is>
      </c>
      <c r="J31" s="398">
        <f>J27-J30</f>
        <v/>
      </c>
      <c r="K31" s="324">
        <f>L31/J31</f>
        <v/>
      </c>
      <c r="L31" s="356">
        <f>L27-L30</f>
        <v/>
      </c>
      <c r="M31" s="399" t="inlineStr">
        <is>
          <t>12月未销售废料</t>
        </is>
      </c>
      <c r="N31" s="298">
        <f>L31/1.13</f>
        <v/>
      </c>
      <c r="O31" s="324">
        <f>N31*0.964963653865046</f>
        <v/>
      </c>
      <c r="P31" s="324" t="n"/>
    </row>
    <row r="32">
      <c r="H32" s="324" t="n"/>
      <c r="I32" s="324" t="inlineStr">
        <is>
          <t>废料销售</t>
        </is>
      </c>
      <c r="J32" s="398" t="n">
        <v>16.84593</v>
      </c>
      <c r="K32" s="400">
        <f>L32/J32</f>
        <v/>
      </c>
      <c r="L32" s="356" t="n">
        <v>49358.57490000001</v>
      </c>
      <c r="M32" s="401" t="inlineStr">
        <is>
          <t>1月未销售废料</t>
        </is>
      </c>
      <c r="N32" s="298">
        <f>L32/1.13</f>
        <v/>
      </c>
      <c r="O32" s="324">
        <f>N32*0.964963653865046</f>
        <v/>
      </c>
      <c r="P32" s="298" t="n"/>
    </row>
    <row r="33">
      <c r="H33" s="324" t="n"/>
      <c r="I33" s="324" t="inlineStr">
        <is>
          <t>废料销售</t>
        </is>
      </c>
      <c r="J33" s="398" t="n">
        <v>10.01151</v>
      </c>
      <c r="K33" s="400">
        <f>L33/J33</f>
        <v/>
      </c>
      <c r="L33" s="324">
        <f>29333.7243+0.68</f>
        <v/>
      </c>
      <c r="M33" s="399" t="inlineStr">
        <is>
          <t>2月未销售废料</t>
        </is>
      </c>
      <c r="N33" s="298">
        <f>L33/1.13</f>
        <v/>
      </c>
      <c r="O33" s="324">
        <f>N33*0.964963653865046</f>
        <v/>
      </c>
      <c r="P33" s="298" t="n"/>
    </row>
    <row r="34">
      <c r="H34" s="324" t="n"/>
      <c r="I34" s="324" t="inlineStr">
        <is>
          <t>废料销售</t>
        </is>
      </c>
      <c r="J34" s="398" t="n">
        <v>9.832229999999999</v>
      </c>
      <c r="K34" s="400" t="n">
        <v>2930</v>
      </c>
      <c r="L34" s="324" t="n">
        <v>28808.4339</v>
      </c>
      <c r="M34" s="401" t="inlineStr">
        <is>
          <t>3月未销售废料</t>
        </is>
      </c>
      <c r="N34" s="298">
        <f>L34/1.13</f>
        <v/>
      </c>
      <c r="O34" s="324">
        <f>N34*0.964963653865046</f>
        <v/>
      </c>
      <c r="P34" s="298" t="n"/>
    </row>
    <row r="35">
      <c r="H35" s="324" t="n"/>
      <c r="I35" s="324" t="inlineStr">
        <is>
          <t>废料销售</t>
        </is>
      </c>
      <c r="J35" s="398" t="n">
        <v>6.525449999999999</v>
      </c>
      <c r="K35" s="400" t="n">
        <v>2930</v>
      </c>
      <c r="L35" s="324" t="n">
        <v>19119.5685</v>
      </c>
      <c r="M35" s="401" t="inlineStr">
        <is>
          <t>4月未销售废料</t>
        </is>
      </c>
      <c r="N35" s="298">
        <f>L35/1.13</f>
        <v/>
      </c>
      <c r="O35" s="324">
        <f>N35*0.964963653865046</f>
        <v/>
      </c>
      <c r="P35" s="298" t="n"/>
    </row>
    <row r="36">
      <c r="H36" s="324" t="n"/>
      <c r="I36" s="324" t="inlineStr">
        <is>
          <t>废料销售</t>
        </is>
      </c>
      <c r="J36" s="398" t="n">
        <v>16.95465</v>
      </c>
      <c r="K36" s="400" t="n">
        <v>2930</v>
      </c>
      <c r="L36" s="324" t="n">
        <v>49677.12449999999</v>
      </c>
      <c r="M36" s="401" t="inlineStr">
        <is>
          <t>5月未销售废料</t>
        </is>
      </c>
      <c r="N36" s="298">
        <f>L36/1.13</f>
        <v/>
      </c>
      <c r="O36" s="324">
        <f>N36*0.964963653865046</f>
        <v/>
      </c>
      <c r="P36" s="298" t="n"/>
    </row>
    <row r="37">
      <c r="H37" s="298" t="n"/>
      <c r="I37" s="298" t="n"/>
      <c r="J37" s="298" t="n"/>
      <c r="K37" s="298" t="n"/>
      <c r="L37" s="298" t="n"/>
      <c r="M37" s="298" t="n"/>
      <c r="N37" s="298" t="n"/>
      <c r="O37" s="298" t="n"/>
      <c r="P37" s="298" t="n"/>
    </row>
    <row r="38">
      <c r="H38" s="298" t="n"/>
      <c r="I38" s="298" t="n"/>
      <c r="J38" s="298" t="n"/>
      <c r="K38" s="298" t="n"/>
      <c r="L38" s="298" t="n"/>
      <c r="M38" s="298" t="n"/>
      <c r="N38" s="298" t="n"/>
      <c r="O38" s="298" t="n"/>
      <c r="P38" s="298" t="n"/>
    </row>
    <row r="39">
      <c r="H39" s="298" t="n"/>
      <c r="I39" s="298" t="n"/>
      <c r="J39" s="306">
        <f>SUM(J31:J38)</f>
        <v/>
      </c>
      <c r="K39" s="298" t="n">
        <v>2930</v>
      </c>
      <c r="L39" s="324">
        <f>SUM(L31:L38)</f>
        <v/>
      </c>
      <c r="M39" s="298" t="n"/>
      <c r="N39" s="298">
        <f>SUM(N31:N38)</f>
        <v/>
      </c>
      <c r="O39" s="298">
        <f>SUM(O31:O38)</f>
        <v/>
      </c>
      <c r="P39" s="298" t="n"/>
    </row>
    <row r="40">
      <c r="H40" s="298" t="n"/>
      <c r="I40" s="298" t="n"/>
      <c r="J40" s="298" t="n"/>
      <c r="K40" s="298" t="n"/>
      <c r="L40" s="308">
        <f>J39*K39-L31-L32-L33-L34-L35</f>
        <v/>
      </c>
      <c r="M40" s="298" t="n"/>
      <c r="N40" s="298" t="n"/>
      <c r="O40" s="298">
        <f>N39-O39</f>
        <v/>
      </c>
      <c r="P40" s="298" t="n"/>
    </row>
    <row r="41">
      <c r="H41" s="298" t="n"/>
      <c r="I41" s="298" t="n"/>
      <c r="J41" s="298" t="n"/>
      <c r="K41" s="298" t="n"/>
      <c r="L41" s="298" t="n"/>
      <c r="M41" s="298" t="n"/>
      <c r="N41" s="298" t="n"/>
      <c r="O41" s="298" t="n"/>
      <c r="P41" s="298" t="n"/>
    </row>
    <row r="42">
      <c r="H42" s="298" t="n"/>
      <c r="I42" s="400" t="inlineStr">
        <is>
          <t>预测废料</t>
        </is>
      </c>
      <c r="J42" s="306">
        <f>J27-J30+J39</f>
        <v/>
      </c>
      <c r="K42" s="298">
        <f>L42/J42</f>
        <v/>
      </c>
      <c r="L42" s="298">
        <f>L27-L30+L39</f>
        <v/>
      </c>
      <c r="M42" s="298" t="n"/>
      <c r="N42" s="298" t="n"/>
      <c r="O42" s="298" t="n"/>
      <c r="P42" s="298" t="n"/>
    </row>
    <row r="43">
      <c r="H43" s="298" t="n"/>
      <c r="I43" s="298" t="n"/>
      <c r="J43" s="298" t="n"/>
      <c r="K43" s="298" t="n"/>
      <c r="L43" s="298" t="n"/>
      <c r="M43" s="298" t="n"/>
      <c r="N43" s="298" t="n"/>
      <c r="O43" s="298" t="n"/>
      <c r="P43" s="298" t="n"/>
    </row>
    <row r="44">
      <c r="H44" s="298" t="n"/>
      <c r="I44" s="298" t="n"/>
      <c r="J44" s="298" t="n"/>
      <c r="K44" s="298" t="n"/>
      <c r="L44" s="298" t="n"/>
      <c r="M44" s="298" t="n"/>
      <c r="N44" s="298" t="n"/>
      <c r="O44" s="298" t="n"/>
      <c r="P44" s="298" t="n"/>
    </row>
    <row r="45" customFormat="1" s="213">
      <c r="H45" s="315" t="n"/>
      <c r="I45" s="315" t="n"/>
      <c r="J45" s="315" t="n"/>
      <c r="K45" s="315" t="n"/>
      <c r="L45" s="315" t="n"/>
      <c r="M45" s="315" t="n"/>
      <c r="N45" s="315" t="n"/>
      <c r="O45" s="315" t="n"/>
      <c r="P45" s="315" t="n"/>
      <c r="R45" s="213" t="inlineStr">
        <is>
          <t>以上废料已结算</t>
        </is>
      </c>
    </row>
    <row r="47">
      <c r="U47" s="0" t="inlineStr">
        <is>
          <t>数量</t>
        </is>
      </c>
      <c r="V47" s="0" t="inlineStr">
        <is>
          <t>单价</t>
        </is>
      </c>
      <c r="W47" s="0" t="inlineStr">
        <is>
          <t>金额</t>
        </is>
      </c>
      <c r="X47" s="0" t="inlineStr">
        <is>
          <t>税额</t>
        </is>
      </c>
      <c r="Y47" s="0" t="inlineStr">
        <is>
          <t>含税金额</t>
        </is>
      </c>
    </row>
    <row r="48">
      <c r="B48" s="301" t="inlineStr">
        <is>
          <t>品名</t>
        </is>
      </c>
      <c r="C48" s="301" t="inlineStr">
        <is>
          <t>单位</t>
        </is>
      </c>
      <c r="D48" s="301" t="inlineStr">
        <is>
          <t>上月结存</t>
        </is>
      </c>
      <c r="E48" s="267" t="n"/>
      <c r="F48" s="266" t="n"/>
      <c r="G48" s="301" t="inlineStr">
        <is>
          <t>本月进仓数</t>
        </is>
      </c>
      <c r="H48" s="267" t="n"/>
      <c r="I48" s="266" t="n"/>
      <c r="J48" s="301" t="inlineStr">
        <is>
          <t>本月发出数</t>
        </is>
      </c>
      <c r="K48" s="267" t="n"/>
      <c r="L48" s="266" t="n"/>
      <c r="M48" s="301" t="inlineStr">
        <is>
          <t>本月结余</t>
        </is>
      </c>
      <c r="N48" s="267" t="n"/>
      <c r="O48" s="266" t="n"/>
      <c r="P48" s="301" t="inlineStr">
        <is>
          <t>备注</t>
        </is>
      </c>
      <c r="R48" s="215" t="n">
        <v>45467</v>
      </c>
      <c r="S48" s="0" t="inlineStr">
        <is>
          <t>*金属制品*废铁</t>
        </is>
      </c>
      <c r="T48" s="0" t="inlineStr">
        <is>
          <t>吨</t>
        </is>
      </c>
      <c r="U48" s="0" t="n">
        <v>68.259</v>
      </c>
      <c r="V48" s="155">
        <f>W48/U48</f>
        <v/>
      </c>
      <c r="W48" s="155" t="n">
        <v>176991.15</v>
      </c>
      <c r="X48" s="155" t="n">
        <v>23008.85</v>
      </c>
      <c r="Y48" s="155" t="n">
        <v>200000</v>
      </c>
    </row>
    <row r="49">
      <c r="B49" s="268" t="n"/>
      <c r="C49" s="268" t="n"/>
      <c r="D49" s="301" t="inlineStr">
        <is>
          <t>数量</t>
        </is>
      </c>
      <c r="E49" s="301" t="inlineStr">
        <is>
          <t>单价</t>
        </is>
      </c>
      <c r="F49" s="301" t="inlineStr">
        <is>
          <t>金额</t>
        </is>
      </c>
      <c r="G49" s="301" t="inlineStr">
        <is>
          <t>数量</t>
        </is>
      </c>
      <c r="H49" s="301" t="inlineStr">
        <is>
          <t>单价</t>
        </is>
      </c>
      <c r="I49" s="301" t="inlineStr">
        <is>
          <t>金额</t>
        </is>
      </c>
      <c r="J49" s="301" t="inlineStr">
        <is>
          <t>数量</t>
        </is>
      </c>
      <c r="K49" s="301" t="inlineStr">
        <is>
          <t>单价</t>
        </is>
      </c>
      <c r="L49" s="301" t="inlineStr">
        <is>
          <t>金额</t>
        </is>
      </c>
      <c r="M49" s="301" t="inlineStr">
        <is>
          <t>数量</t>
        </is>
      </c>
      <c r="N49" s="301" t="inlineStr">
        <is>
          <t>单价</t>
        </is>
      </c>
      <c r="O49" s="301" t="inlineStr">
        <is>
          <t>金额</t>
        </is>
      </c>
      <c r="P49" s="268" t="n"/>
      <c r="V49" s="155">
        <f>Y48/U48</f>
        <v/>
      </c>
      <c r="W49" s="155" t="n"/>
      <c r="X49" s="155" t="n"/>
      <c r="Y49" s="155" t="n"/>
    </row>
    <row r="50">
      <c r="B50" s="301" t="inlineStr">
        <is>
          <t>带钢</t>
        </is>
      </c>
      <c r="C50" s="301" t="inlineStr">
        <is>
          <t>吨</t>
        </is>
      </c>
      <c r="D50" s="301" t="n">
        <v>86.685</v>
      </c>
      <c r="E50" s="301" t="n">
        <v>3784.975601315106</v>
      </c>
      <c r="F50" s="301" t="n">
        <v>328100.61</v>
      </c>
      <c r="G50" s="302" t="n">
        <v>75.48</v>
      </c>
      <c r="H50" s="303" t="n">
        <v>3820.234896661367</v>
      </c>
      <c r="I50" s="303" t="n">
        <v>288351.33</v>
      </c>
      <c r="J50" s="302" t="n">
        <v>102.786</v>
      </c>
      <c r="K50" s="304" t="n">
        <v>3801.387105725649</v>
      </c>
      <c r="L50" s="303" t="n">
        <v>390729.3750491164</v>
      </c>
      <c r="M50" s="302" t="n">
        <v>59.37900000000005</v>
      </c>
      <c r="N50" s="303" t="n">
        <v>3801.387105725649</v>
      </c>
      <c r="O50" s="303" t="n">
        <v>225722.5649508835</v>
      </c>
      <c r="P50" s="318" t="inlineStr">
        <is>
          <t>6月</t>
        </is>
      </c>
    </row>
    <row r="51">
      <c r="B51" s="312" t="inlineStr">
        <is>
          <t>镀锌带钢</t>
        </is>
      </c>
      <c r="C51" s="312" t="inlineStr">
        <is>
          <t>吨</t>
        </is>
      </c>
      <c r="D51" s="301" t="n"/>
      <c r="E51" s="301" t="n"/>
      <c r="F51" s="303" t="n"/>
      <c r="G51" s="302" t="n">
        <v>8.234</v>
      </c>
      <c r="H51" s="303" t="n">
        <v>4309.780179742532</v>
      </c>
      <c r="I51" s="303" t="n">
        <v>35486.73</v>
      </c>
      <c r="J51" s="302" t="n">
        <v>8.234</v>
      </c>
      <c r="K51" s="304" t="n">
        <v>4309.780179742532</v>
      </c>
      <c r="L51" s="303" t="n">
        <v>35486.73</v>
      </c>
      <c r="M51" s="302" t="n">
        <v>0</v>
      </c>
      <c r="N51" s="303" t="e">
        <v>#DIV/0!</v>
      </c>
      <c r="O51" s="303" t="n">
        <v>0</v>
      </c>
      <c r="P51" s="318" t="inlineStr">
        <is>
          <t>6月</t>
        </is>
      </c>
    </row>
    <row r="52">
      <c r="B52" s="301" t="inlineStr">
        <is>
          <t>带钢</t>
        </is>
      </c>
      <c r="C52" s="301" t="inlineStr">
        <is>
          <t>吨</t>
        </is>
      </c>
      <c r="D52" s="317" t="n">
        <v>59.37900000000005</v>
      </c>
      <c r="E52" s="301" t="n">
        <v>3801.387022347965</v>
      </c>
      <c r="F52" s="301" t="n">
        <v>225722.56</v>
      </c>
      <c r="G52" s="302" t="n">
        <v>259.376</v>
      </c>
      <c r="H52" s="303" t="n">
        <v>3828.821517796559</v>
      </c>
      <c r="I52" s="303" t="n">
        <v>993104.41</v>
      </c>
      <c r="J52" s="302" t="n">
        <v>79</v>
      </c>
      <c r="K52" s="304" t="n">
        <v>3823.710906495584</v>
      </c>
      <c r="L52" s="303" t="n">
        <v>302073.1616131511</v>
      </c>
      <c r="M52" s="302" t="n">
        <v>239.755</v>
      </c>
      <c r="N52" s="303" t="n">
        <v>3823.710906495584</v>
      </c>
      <c r="O52" s="303" t="n">
        <v>916753.8083868488</v>
      </c>
      <c r="P52" s="318" t="inlineStr">
        <is>
          <t>7月</t>
        </is>
      </c>
    </row>
    <row r="53">
      <c r="B53" s="301" t="inlineStr">
        <is>
          <t>带钢</t>
        </is>
      </c>
      <c r="C53" s="301" t="inlineStr">
        <is>
          <t>吨</t>
        </is>
      </c>
      <c r="D53" s="302" t="n">
        <v>239.755</v>
      </c>
      <c r="E53" s="303" t="n">
        <v>3823.710913223917</v>
      </c>
      <c r="F53" s="303" t="n">
        <v>916753.8100000001</v>
      </c>
      <c r="G53" s="302" t="n">
        <v>104.677</v>
      </c>
      <c r="H53" s="303" t="n">
        <v>3678.91093554458</v>
      </c>
      <c r="I53" s="303" t="n">
        <v>385097.36</v>
      </c>
      <c r="J53" s="302" t="n">
        <v>106.6</v>
      </c>
      <c r="K53" s="304" t="n">
        <v>3779.704469967947</v>
      </c>
      <c r="L53" s="303" t="n">
        <v>402916.4964985831</v>
      </c>
      <c r="M53" s="302" t="n">
        <v>237.832</v>
      </c>
      <c r="N53" s="303" t="n">
        <v>3779.704469967947</v>
      </c>
      <c r="O53" s="303" t="n">
        <v>898934.6735014168</v>
      </c>
      <c r="P53" s="318" t="inlineStr">
        <is>
          <t>8月</t>
        </is>
      </c>
    </row>
    <row r="54">
      <c r="B54" s="312" t="inlineStr">
        <is>
          <t>镀锌带钢</t>
        </is>
      </c>
      <c r="C54" s="312" t="inlineStr">
        <is>
          <t>吨</t>
        </is>
      </c>
      <c r="D54" s="302" t="n">
        <v>9.086</v>
      </c>
      <c r="E54" s="303" t="n">
        <v>4310.044023772837</v>
      </c>
      <c r="F54" s="303" t="n">
        <v>39161.06</v>
      </c>
      <c r="G54" s="302" t="n"/>
      <c r="H54" s="303" t="n"/>
      <c r="I54" s="303" t="n"/>
      <c r="J54" s="302" t="n">
        <v>9.086</v>
      </c>
      <c r="K54" s="304" t="n">
        <v>4310.044023772837</v>
      </c>
      <c r="L54" s="303" t="n">
        <v>39161.06</v>
      </c>
      <c r="M54" s="302" t="n">
        <v>0</v>
      </c>
      <c r="N54" s="303" t="e">
        <v>#DIV/0!</v>
      </c>
      <c r="O54" s="303" t="n">
        <v>0</v>
      </c>
      <c r="P54" s="318" t="inlineStr">
        <is>
          <t>8月</t>
        </is>
      </c>
    </row>
    <row r="55">
      <c r="B55" s="307" t="inlineStr">
        <is>
          <t>冷轧板卷</t>
        </is>
      </c>
      <c r="C55" s="307" t="inlineStr">
        <is>
          <t>吨</t>
        </is>
      </c>
      <c r="D55" s="302" t="n">
        <v>10.448</v>
      </c>
      <c r="E55" s="303" t="n">
        <v>3913.01588820827</v>
      </c>
      <c r="F55" s="303" t="n">
        <v>40883.19</v>
      </c>
      <c r="G55" s="302" t="n"/>
      <c r="H55" s="303" t="n"/>
      <c r="I55" s="303" t="n"/>
      <c r="J55" s="302" t="n">
        <v>10.448</v>
      </c>
      <c r="K55" s="304" t="n">
        <v>3913.01588820827</v>
      </c>
      <c r="L55" s="303" t="n">
        <v>40883.19</v>
      </c>
      <c r="M55" s="302" t="n">
        <v>0</v>
      </c>
      <c r="N55" s="303" t="e">
        <v>#DIV/0!</v>
      </c>
      <c r="O55" s="303" t="n">
        <v>0</v>
      </c>
      <c r="P55" s="318" t="inlineStr">
        <is>
          <t>8月</t>
        </is>
      </c>
      <c r="R55" s="219" t="inlineStr">
        <is>
          <t>2024.10.26</t>
        </is>
      </c>
      <c r="S55" s="0" t="inlineStr">
        <is>
          <t>*金属制品*废铁</t>
        </is>
      </c>
      <c r="T55" s="0" t="inlineStr">
        <is>
          <t>吨</t>
        </is>
      </c>
      <c r="U55" s="0" t="n">
        <v>11.54</v>
      </c>
      <c r="V55" s="0">
        <f>W55/U55</f>
        <v/>
      </c>
      <c r="W55" s="0" t="n">
        <v>26548.67</v>
      </c>
      <c r="X55" s="0" t="n">
        <v>3451.33</v>
      </c>
      <c r="Y55" s="0" t="n">
        <v>30000</v>
      </c>
    </row>
    <row r="56">
      <c r="B56" s="301" t="inlineStr">
        <is>
          <t>带钢</t>
        </is>
      </c>
      <c r="C56" s="301" t="inlineStr">
        <is>
          <t>吨</t>
        </is>
      </c>
      <c r="D56" s="302" t="n">
        <v>237.832</v>
      </c>
      <c r="E56" s="303" t="n">
        <v>3779.70445524572</v>
      </c>
      <c r="F56" s="303" t="n">
        <v>898934.67</v>
      </c>
      <c r="G56" s="302" t="n">
        <v>56.07000000000001</v>
      </c>
      <c r="H56" s="303" t="n">
        <v>3650.762083110397</v>
      </c>
      <c r="I56" s="303" t="n">
        <v>204698.23</v>
      </c>
      <c r="J56" s="302" t="n">
        <v>154.8</v>
      </c>
      <c r="K56" s="304" t="n">
        <v>3755.105103061564</v>
      </c>
      <c r="L56" s="303" t="n">
        <v>581290.2699539302</v>
      </c>
      <c r="M56" s="302" t="n">
        <v>139.102</v>
      </c>
      <c r="N56" s="303" t="n">
        <v>3755.105103061564</v>
      </c>
      <c r="O56" s="303" t="n">
        <v>522342.6300460697</v>
      </c>
      <c r="P56" s="318" t="inlineStr">
        <is>
          <t>9月</t>
        </is>
      </c>
      <c r="V56" s="155">
        <f>Y55/U55</f>
        <v/>
      </c>
      <c r="W56" s="155">
        <f>W55/N65*O65</f>
        <v/>
      </c>
    </row>
    <row r="57">
      <c r="B57" s="301" t="n"/>
      <c r="C57" s="301" t="n"/>
      <c r="D57" s="301" t="n"/>
      <c r="E57" s="301" t="n"/>
      <c r="F57" s="301" t="n"/>
      <c r="G57" s="302" t="n"/>
      <c r="H57" s="303" t="n"/>
      <c r="I57" s="303" t="n"/>
      <c r="J57" s="302" t="n"/>
      <c r="K57" s="304" t="n"/>
      <c r="L57" s="303" t="n"/>
      <c r="M57" s="302" t="n"/>
      <c r="N57" s="303" t="n"/>
      <c r="O57" s="303" t="n"/>
      <c r="P57" s="318" t="n"/>
    </row>
    <row r="58">
      <c r="B58" s="301" t="n"/>
      <c r="C58" s="301" t="n"/>
      <c r="D58" s="301" t="n"/>
      <c r="E58" s="301" t="n"/>
      <c r="F58" s="301" t="n"/>
      <c r="G58" s="302" t="n"/>
      <c r="H58" s="303" t="n"/>
      <c r="I58" s="303" t="n"/>
      <c r="J58" s="302" t="n"/>
      <c r="K58" s="304" t="n"/>
      <c r="L58" s="303" t="n"/>
      <c r="M58" s="302" t="n"/>
      <c r="N58" s="303" t="n"/>
      <c r="O58" s="303" t="n"/>
      <c r="P58" s="318" t="n"/>
    </row>
    <row r="59">
      <c r="B59" s="301" t="n"/>
      <c r="C59" s="301" t="n"/>
      <c r="D59" s="301" t="n"/>
      <c r="E59" s="301" t="n"/>
      <c r="F59" s="301" t="n"/>
      <c r="G59" s="302" t="n"/>
      <c r="H59" s="303" t="n"/>
      <c r="I59" s="303" t="n"/>
      <c r="J59" s="302" t="n"/>
      <c r="K59" s="304" t="n"/>
      <c r="L59" s="303" t="n"/>
      <c r="M59" s="302" t="n"/>
      <c r="N59" s="303" t="n"/>
      <c r="O59" s="303" t="n"/>
      <c r="P59" s="318" t="n"/>
    </row>
    <row r="63">
      <c r="G63" s="0">
        <f>K64*1.13</f>
        <v/>
      </c>
    </row>
    <row r="64">
      <c r="G64" s="0">
        <f>K65/G63</f>
        <v/>
      </c>
      <c r="H64" s="324" t="n"/>
      <c r="I64" s="324" t="n"/>
      <c r="J64" s="326">
        <f>SUM(J50:J59)</f>
        <v/>
      </c>
      <c r="K64" s="325">
        <f>L64/J64</f>
        <v/>
      </c>
      <c r="L64" s="324">
        <f>SUM(L50:L59)</f>
        <v/>
      </c>
      <c r="M64" s="324" t="n"/>
      <c r="N64" s="324" t="n"/>
      <c r="O64" s="324" t="n"/>
      <c r="P64" s="298" t="n"/>
    </row>
    <row r="65">
      <c r="H65" s="324" t="n"/>
      <c r="I65" s="324" t="n"/>
      <c r="J65" s="326">
        <f>J64*0.09</f>
        <v/>
      </c>
      <c r="K65" s="298" t="n">
        <v>2930</v>
      </c>
      <c r="L65" s="298">
        <f>J65*K65</f>
        <v/>
      </c>
      <c r="M65" s="324" t="n"/>
      <c r="N65" s="298">
        <f>L65/1.13</f>
        <v/>
      </c>
      <c r="O65" s="298">
        <f>N65*0.964963653865046</f>
        <v/>
      </c>
      <c r="P65" s="298" t="n"/>
    </row>
    <row r="66">
      <c r="G66" s="0">
        <f>V56/G63</f>
        <v/>
      </c>
      <c r="H66" s="324" t="n"/>
      <c r="I66" s="390" t="n"/>
      <c r="J66" s="324" t="n"/>
      <c r="K66" s="298" t="n"/>
      <c r="L66" s="298" t="n"/>
      <c r="M66" s="324" t="n"/>
      <c r="N66" s="298" t="n"/>
      <c r="O66" s="298">
        <f>N65-O65</f>
        <v/>
      </c>
      <c r="P66" s="298" t="n"/>
    </row>
    <row r="67">
      <c r="I67" s="400" t="inlineStr">
        <is>
          <t>预测废料</t>
        </is>
      </c>
      <c r="J67" s="306">
        <f>J42-U48+J65</f>
        <v/>
      </c>
      <c r="K67" s="298">
        <f>L67/J67</f>
        <v/>
      </c>
      <c r="L67" s="298">
        <f>L42-Y48+L65</f>
        <v/>
      </c>
    </row>
    <row r="69" customFormat="1" s="213">
      <c r="R69" s="213" t="inlineStr">
        <is>
          <t>以上废料已结算</t>
        </is>
      </c>
    </row>
    <row r="71">
      <c r="U71" s="0" t="inlineStr">
        <is>
          <t>数量</t>
        </is>
      </c>
      <c r="V71" s="0" t="inlineStr">
        <is>
          <t>单价</t>
        </is>
      </c>
      <c r="W71" s="0" t="inlineStr">
        <is>
          <t>金额</t>
        </is>
      </c>
      <c r="X71" s="0" t="inlineStr">
        <is>
          <t>税额</t>
        </is>
      </c>
      <c r="Y71" s="0" t="inlineStr">
        <is>
          <t>含税金额</t>
        </is>
      </c>
    </row>
    <row r="72">
      <c r="B72" s="301" t="inlineStr">
        <is>
          <t>品名</t>
        </is>
      </c>
      <c r="C72" s="301" t="inlineStr">
        <is>
          <t>单位</t>
        </is>
      </c>
      <c r="D72" s="301" t="inlineStr">
        <is>
          <t>上月结存</t>
        </is>
      </c>
      <c r="E72" s="267" t="n"/>
      <c r="F72" s="266" t="n"/>
      <c r="G72" s="301" t="inlineStr">
        <is>
          <t>本月进仓数</t>
        </is>
      </c>
      <c r="H72" s="267" t="n"/>
      <c r="I72" s="266" t="n"/>
      <c r="J72" s="301" t="inlineStr">
        <is>
          <t>本月发出数</t>
        </is>
      </c>
      <c r="K72" s="267" t="n"/>
      <c r="L72" s="266" t="n"/>
      <c r="M72" s="301" t="inlineStr">
        <is>
          <t>本月结余</t>
        </is>
      </c>
      <c r="N72" s="267" t="n"/>
      <c r="O72" s="266" t="n"/>
      <c r="P72" s="301" t="inlineStr">
        <is>
          <t>备注</t>
        </is>
      </c>
      <c r="R72" s="215" t="inlineStr">
        <is>
          <t>2024.12.27</t>
        </is>
      </c>
      <c r="S72" s="0" t="inlineStr">
        <is>
          <t>*金属制品*废铁</t>
        </is>
      </c>
      <c r="T72" s="0" t="inlineStr">
        <is>
          <t>吨</t>
        </is>
      </c>
      <c r="U72" s="0" t="n">
        <v>39.684</v>
      </c>
      <c r="V72" s="155">
        <f>W72/U72</f>
        <v/>
      </c>
      <c r="W72" s="155" t="n">
        <v>88495.58</v>
      </c>
      <c r="X72" s="155" t="n">
        <v>11504.42</v>
      </c>
      <c r="Y72" s="155" t="n">
        <v>100000</v>
      </c>
    </row>
    <row r="73">
      <c r="B73" s="268" t="n"/>
      <c r="C73" s="268" t="n"/>
      <c r="D73" s="301" t="inlineStr">
        <is>
          <t>数量</t>
        </is>
      </c>
      <c r="E73" s="301" t="inlineStr">
        <is>
          <t>单价</t>
        </is>
      </c>
      <c r="F73" s="301" t="inlineStr">
        <is>
          <t>金额</t>
        </is>
      </c>
      <c r="G73" s="301" t="inlineStr">
        <is>
          <t>数量</t>
        </is>
      </c>
      <c r="H73" s="301" t="inlineStr">
        <is>
          <t>单价</t>
        </is>
      </c>
      <c r="I73" s="301" t="inlineStr">
        <is>
          <t>金额</t>
        </is>
      </c>
      <c r="J73" s="301" t="inlineStr">
        <is>
          <t>数量</t>
        </is>
      </c>
      <c r="K73" s="301" t="inlineStr">
        <is>
          <t>单价</t>
        </is>
      </c>
      <c r="L73" s="301" t="inlineStr">
        <is>
          <t>金额</t>
        </is>
      </c>
      <c r="M73" s="301" t="inlineStr">
        <is>
          <t>数量</t>
        </is>
      </c>
      <c r="N73" s="301" t="inlineStr">
        <is>
          <t>单价</t>
        </is>
      </c>
      <c r="O73" s="301" t="inlineStr">
        <is>
          <t>金额</t>
        </is>
      </c>
      <c r="P73" s="268" t="n"/>
      <c r="R73" s="215" t="inlineStr">
        <is>
          <t>2024.12.27</t>
        </is>
      </c>
      <c r="S73" s="0" t="inlineStr">
        <is>
          <t>*金属制品*废铁</t>
        </is>
      </c>
      <c r="T73" s="0" t="inlineStr">
        <is>
          <t>吨</t>
        </is>
      </c>
      <c r="U73" s="0" t="n">
        <v>19.842</v>
      </c>
      <c r="V73" s="155">
        <f>W73/U73</f>
        <v/>
      </c>
      <c r="W73" s="155" t="n">
        <v>44247.79</v>
      </c>
      <c r="X73" s="155" t="n">
        <v>5752.21</v>
      </c>
      <c r="Y73" s="155" t="n">
        <v>50000</v>
      </c>
    </row>
    <row r="74">
      <c r="B74" s="301" t="inlineStr">
        <is>
          <t>带钢</t>
        </is>
      </c>
      <c r="C74" s="301" t="inlineStr">
        <is>
          <t>吨</t>
        </is>
      </c>
      <c r="D74" s="302" t="n">
        <v>139.102</v>
      </c>
      <c r="E74" s="303" t="n">
        <v>3755.10510273037</v>
      </c>
      <c r="F74" s="303" t="n">
        <v>522342.63</v>
      </c>
      <c r="G74" s="302" t="n">
        <v>83.157</v>
      </c>
      <c r="H74" s="303" t="n">
        <v>3527.818944887381</v>
      </c>
      <c r="I74" s="303" t="n">
        <v>293362.84</v>
      </c>
      <c r="J74" s="302" t="n">
        <v>147.2</v>
      </c>
      <c r="K74" s="304" t="n">
        <v>3670.067218875276</v>
      </c>
      <c r="L74" s="303" t="n">
        <v>540233.8946184405</v>
      </c>
      <c r="M74" s="302" t="n">
        <v>75.05900000000003</v>
      </c>
      <c r="N74" s="303" t="n">
        <v>3670.067218875276</v>
      </c>
      <c r="O74" s="303" t="n">
        <v>275471.5753815594</v>
      </c>
      <c r="P74" s="318" t="inlineStr">
        <is>
          <t>10月</t>
        </is>
      </c>
      <c r="U74" s="0" t="n">
        <v>59.526</v>
      </c>
      <c r="V74" s="155">
        <f>W74/U74</f>
        <v/>
      </c>
      <c r="W74" s="0" t="n">
        <v>132743.37</v>
      </c>
      <c r="X74" s="155">
        <f>SUM(X72:X73)</f>
        <v/>
      </c>
      <c r="Y74" s="155">
        <f>SUM(Y72:Y73)</f>
        <v/>
      </c>
    </row>
    <row r="75">
      <c r="B75" s="312" t="inlineStr">
        <is>
          <t>带钢</t>
        </is>
      </c>
      <c r="C75" s="312" t="inlineStr">
        <is>
          <t>吨</t>
        </is>
      </c>
      <c r="D75" s="301" t="n">
        <v>75.05900000000003</v>
      </c>
      <c r="E75" s="301" t="n">
        <v>3670.06728040608</v>
      </c>
      <c r="F75" s="303" t="n">
        <v>275471.58</v>
      </c>
      <c r="G75" s="302" t="n">
        <v>91.527</v>
      </c>
      <c r="H75" s="303" t="n">
        <v>3343.933156336382</v>
      </c>
      <c r="I75" s="303" t="n">
        <v>306060.17</v>
      </c>
      <c r="J75" s="302" t="n">
        <v>151.8</v>
      </c>
      <c r="K75" s="304" t="n">
        <v>3490.880085961605</v>
      </c>
      <c r="L75" s="303" t="n">
        <v>529915.5970489717</v>
      </c>
      <c r="M75" s="302" t="n">
        <v>14.786</v>
      </c>
      <c r="N75" s="303" t="n">
        <v>3490.880085961606</v>
      </c>
      <c r="O75" s="303" t="n">
        <v>51616.15295102831</v>
      </c>
      <c r="P75" s="318" t="inlineStr">
        <is>
          <t>11月</t>
        </is>
      </c>
    </row>
    <row r="76">
      <c r="B76" s="301" t="inlineStr">
        <is>
          <t>镀锌带钢</t>
        </is>
      </c>
      <c r="C76" s="301" t="inlineStr">
        <is>
          <t>吨</t>
        </is>
      </c>
      <c r="D76" s="317" t="n"/>
      <c r="E76" s="301" t="n"/>
      <c r="F76" s="301" t="n"/>
      <c r="G76" s="302" t="n">
        <v>10.537</v>
      </c>
      <c r="H76" s="303" t="n">
        <v>3787.747935845117</v>
      </c>
      <c r="I76" s="303" t="n">
        <v>39911.5</v>
      </c>
      <c r="J76" s="302" t="n">
        <v>10.537</v>
      </c>
      <c r="K76" s="304" t="n">
        <v>3787.747935845117</v>
      </c>
      <c r="L76" s="303" t="n">
        <v>39911.5</v>
      </c>
      <c r="M76" s="302" t="n">
        <v>0</v>
      </c>
      <c r="N76" s="303" t="e">
        <v>#DIV/0!</v>
      </c>
      <c r="O76" s="303" t="n">
        <v>0</v>
      </c>
      <c r="P76" s="318" t="inlineStr">
        <is>
          <t>11月</t>
        </is>
      </c>
      <c r="V76" s="0">
        <f>Y74/U74</f>
        <v/>
      </c>
    </row>
    <row r="77">
      <c r="B77" s="301" t="n"/>
      <c r="C77" s="301" t="n"/>
      <c r="D77" s="302" t="n"/>
      <c r="E77" s="303" t="n"/>
      <c r="F77" s="303" t="n"/>
      <c r="G77" s="302" t="n"/>
      <c r="H77" s="303" t="n"/>
      <c r="I77" s="303" t="n"/>
      <c r="J77" s="302" t="n"/>
      <c r="K77" s="304" t="n"/>
      <c r="L77" s="303" t="n"/>
      <c r="M77" s="302" t="n"/>
      <c r="N77" s="303" t="n"/>
      <c r="O77" s="303" t="n"/>
      <c r="P77" s="318" t="n"/>
    </row>
    <row r="78">
      <c r="B78" s="312" t="n"/>
      <c r="C78" s="312" t="n"/>
      <c r="D78" s="302" t="n"/>
      <c r="E78" s="303" t="n"/>
      <c r="F78" s="303" t="n"/>
      <c r="G78" s="302" t="n"/>
      <c r="H78" s="303" t="n"/>
      <c r="I78" s="303" t="n"/>
      <c r="J78" s="302" t="n"/>
      <c r="K78" s="304" t="n"/>
      <c r="L78" s="303" t="n"/>
      <c r="M78" s="302" t="n"/>
      <c r="N78" s="303" t="n"/>
      <c r="O78" s="303" t="n"/>
      <c r="P78" s="318" t="n"/>
      <c r="W78" s="298">
        <f>W74/1.13</f>
        <v/>
      </c>
      <c r="X78" s="298">
        <f>W78*0.984963653865046</f>
        <v/>
      </c>
    </row>
    <row r="79">
      <c r="W79" s="298" t="n"/>
      <c r="X79" s="298">
        <f>W78-X78</f>
        <v/>
      </c>
    </row>
    <row r="80">
      <c r="H80" s="324" t="n"/>
      <c r="I80" s="324" t="n"/>
      <c r="J80" s="326">
        <f>SUM(J74:J78)</f>
        <v/>
      </c>
      <c r="K80" s="325">
        <f>L80/J80</f>
        <v/>
      </c>
      <c r="L80" s="324">
        <f>SUM(L74:L78)</f>
        <v/>
      </c>
      <c r="M80" s="324" t="n"/>
      <c r="N80" s="324" t="n"/>
      <c r="O80" s="324" t="n"/>
      <c r="P80" s="298" t="n"/>
    </row>
    <row r="81">
      <c r="G81" s="0">
        <f>K80*1.13</f>
        <v/>
      </c>
      <c r="H81" s="324" t="n"/>
      <c r="I81" s="324" t="n"/>
      <c r="J81" s="326">
        <f>J80*0.09</f>
        <v/>
      </c>
      <c r="K81" s="298" t="n">
        <v>2519.91</v>
      </c>
      <c r="L81" s="298">
        <f>J81*K81</f>
        <v/>
      </c>
      <c r="M81" s="324" t="n"/>
      <c r="N81" s="298">
        <f>L81/1.13</f>
        <v/>
      </c>
      <c r="O81" s="298">
        <f>N81*0.964963653865046</f>
        <v/>
      </c>
      <c r="P81" s="298" t="n"/>
    </row>
    <row r="82">
      <c r="H82" s="324" t="n"/>
      <c r="I82" s="390" t="n"/>
      <c r="J82" s="324" t="n"/>
      <c r="K82" s="298" t="n"/>
      <c r="L82" s="298" t="n"/>
      <c r="M82" s="324" t="n"/>
      <c r="N82" s="298" t="n"/>
      <c r="O82" s="298">
        <f>N81-O81</f>
        <v/>
      </c>
      <c r="P82" s="298" t="n"/>
    </row>
    <row r="83">
      <c r="G83" s="0">
        <f>K84/G81</f>
        <v/>
      </c>
      <c r="I83" s="400" t="inlineStr">
        <is>
          <t>预测废料</t>
        </is>
      </c>
      <c r="J83" s="306">
        <f>J67-U55+J81</f>
        <v/>
      </c>
      <c r="K83" s="298">
        <f>L83/J83</f>
        <v/>
      </c>
      <c r="L83" s="298">
        <f>L65-Y55+L81</f>
        <v/>
      </c>
    </row>
    <row r="84">
      <c r="K84" s="0" t="n">
        <v>2519.91</v>
      </c>
      <c r="L84" s="155">
        <f>J83*K84</f>
        <v/>
      </c>
    </row>
    <row r="87" customFormat="1" s="213">
      <c r="R87" s="213" t="inlineStr">
        <is>
          <t>以上废料已结算</t>
        </is>
      </c>
    </row>
    <row r="90">
      <c r="U90" s="0" t="inlineStr">
        <is>
          <t>数量</t>
        </is>
      </c>
      <c r="V90" s="0" t="inlineStr">
        <is>
          <t>单价</t>
        </is>
      </c>
      <c r="W90" s="0" t="inlineStr">
        <is>
          <t>金额</t>
        </is>
      </c>
      <c r="X90" s="0" t="inlineStr">
        <is>
          <t>税额</t>
        </is>
      </c>
      <c r="Y90" s="0" t="inlineStr">
        <is>
          <t>含税金额</t>
        </is>
      </c>
    </row>
    <row r="91">
      <c r="B91" s="301" t="inlineStr">
        <is>
          <t>品名</t>
        </is>
      </c>
      <c r="C91" s="301" t="inlineStr">
        <is>
          <t>单位</t>
        </is>
      </c>
      <c r="D91" s="301" t="inlineStr">
        <is>
          <t>上月结存</t>
        </is>
      </c>
      <c r="E91" s="267" t="n"/>
      <c r="F91" s="266" t="n"/>
      <c r="G91" s="301" t="inlineStr">
        <is>
          <t>本月进仓数</t>
        </is>
      </c>
      <c r="H91" s="267" t="n"/>
      <c r="I91" s="266" t="n"/>
      <c r="J91" s="301" t="inlineStr">
        <is>
          <t>本月发出数</t>
        </is>
      </c>
      <c r="K91" s="267" t="n"/>
      <c r="L91" s="266" t="n"/>
      <c r="M91" s="301" t="inlineStr">
        <is>
          <t>本月结余</t>
        </is>
      </c>
      <c r="N91" s="267" t="n"/>
      <c r="O91" s="266" t="n"/>
      <c r="P91" s="301" t="inlineStr">
        <is>
          <t>备注</t>
        </is>
      </c>
      <c r="R91" s="224" t="inlineStr">
        <is>
          <t>2025.02.26</t>
        </is>
      </c>
      <c r="S91" s="57" t="inlineStr">
        <is>
          <t>*金属制品*废铁</t>
        </is>
      </c>
      <c r="T91" s="57" t="inlineStr">
        <is>
          <t>吨</t>
        </is>
      </c>
      <c r="U91" s="0" t="n">
        <v>36.535</v>
      </c>
      <c r="V91" s="155">
        <f>W91/U91</f>
        <v/>
      </c>
      <c r="W91" s="155" t="n">
        <v>79646.02</v>
      </c>
      <c r="X91" s="155" t="n">
        <v>10353.98</v>
      </c>
      <c r="Y91" s="155" t="n">
        <v>90000</v>
      </c>
    </row>
    <row r="92">
      <c r="B92" s="268" t="n"/>
      <c r="C92" s="268" t="n"/>
      <c r="D92" s="301" t="inlineStr">
        <is>
          <t>数量</t>
        </is>
      </c>
      <c r="E92" s="301" t="inlineStr">
        <is>
          <t>单价</t>
        </is>
      </c>
      <c r="F92" s="301" t="inlineStr">
        <is>
          <t>金额</t>
        </is>
      </c>
      <c r="G92" s="301" t="inlineStr">
        <is>
          <t>数量</t>
        </is>
      </c>
      <c r="H92" s="301" t="inlineStr">
        <is>
          <t>单价</t>
        </is>
      </c>
      <c r="I92" s="301" t="inlineStr">
        <is>
          <t>金额</t>
        </is>
      </c>
      <c r="J92" s="301" t="inlineStr">
        <is>
          <t>数量</t>
        </is>
      </c>
      <c r="K92" s="301" t="inlineStr">
        <is>
          <t>单价</t>
        </is>
      </c>
      <c r="L92" s="301" t="inlineStr">
        <is>
          <t>金额</t>
        </is>
      </c>
      <c r="M92" s="301" t="inlineStr">
        <is>
          <t>数量</t>
        </is>
      </c>
      <c r="N92" s="301" t="inlineStr">
        <is>
          <t>单价</t>
        </is>
      </c>
      <c r="O92" s="301" t="inlineStr">
        <is>
          <t>金额</t>
        </is>
      </c>
      <c r="P92" s="268" t="n"/>
      <c r="V92" s="155" t="n"/>
      <c r="W92" s="155" t="n"/>
      <c r="X92" s="155" t="n"/>
      <c r="Y92" s="155" t="n"/>
    </row>
    <row r="93">
      <c r="B93" s="301" t="inlineStr">
        <is>
          <t>带钢</t>
        </is>
      </c>
      <c r="C93" s="301" t="inlineStr">
        <is>
          <t>吨</t>
        </is>
      </c>
      <c r="D93" s="302" t="n">
        <v>14.786</v>
      </c>
      <c r="E93" s="303" t="n">
        <v>3490.879886379007</v>
      </c>
      <c r="F93" s="303" t="n">
        <v>51616.15</v>
      </c>
      <c r="G93" s="302" t="n">
        <v>202.971</v>
      </c>
      <c r="H93" s="303" t="n">
        <v>3581.452424237945</v>
      </c>
      <c r="I93" s="303" t="n">
        <v>726930.9800000001</v>
      </c>
      <c r="J93" s="302" t="n">
        <v>127.2</v>
      </c>
      <c r="K93" s="304" t="n">
        <v>3575.302424261907</v>
      </c>
      <c r="L93" s="303" t="n">
        <v>454778.4683661145</v>
      </c>
      <c r="M93" s="302" t="n">
        <v>90.55700000000003</v>
      </c>
      <c r="N93" s="303" t="n">
        <v>3575.302424261907</v>
      </c>
      <c r="O93" s="303" t="n">
        <v>323768.6616338856</v>
      </c>
      <c r="P93" s="318" t="inlineStr">
        <is>
          <t>12月</t>
        </is>
      </c>
      <c r="V93" s="155" t="n"/>
      <c r="X93" s="155" t="n"/>
      <c r="Y93" s="155" t="n"/>
    </row>
    <row r="94">
      <c r="B94" s="307" t="inlineStr">
        <is>
          <t>镀锌卷板</t>
        </is>
      </c>
      <c r="C94" s="312" t="inlineStr">
        <is>
          <t>吨</t>
        </is>
      </c>
      <c r="D94" s="302" t="n"/>
      <c r="E94" s="303" t="n"/>
      <c r="F94" s="303" t="n"/>
      <c r="G94" s="302" t="n">
        <v>12.733</v>
      </c>
      <c r="H94" s="303" t="n">
        <v>3885.104060315715</v>
      </c>
      <c r="I94" s="303" t="n">
        <v>49469.03</v>
      </c>
      <c r="J94" s="302" t="n">
        <v>12.733</v>
      </c>
      <c r="K94" s="304" t="n">
        <v>3885.104060315715</v>
      </c>
      <c r="L94" s="303" t="n">
        <v>49469.03</v>
      </c>
      <c r="M94" s="302" t="n">
        <v>0</v>
      </c>
      <c r="N94" s="303" t="e">
        <v>#DIV/0!</v>
      </c>
      <c r="O94" s="303" t="n">
        <v>0</v>
      </c>
      <c r="P94" s="318" t="inlineStr">
        <is>
          <t>12月</t>
        </is>
      </c>
      <c r="W94" s="298">
        <f>W91</f>
        <v/>
      </c>
      <c r="X94" s="298">
        <f>W94*测算表!G25</f>
        <v/>
      </c>
    </row>
    <row r="95">
      <c r="B95" s="301" t="inlineStr">
        <is>
          <t>带钢</t>
        </is>
      </c>
      <c r="C95" s="301" t="inlineStr">
        <is>
          <t>吨</t>
        </is>
      </c>
      <c r="D95" s="302" t="n">
        <v>90.55700000000003</v>
      </c>
      <c r="E95" s="303" t="n">
        <v>3575.302406219286</v>
      </c>
      <c r="F95" s="303" t="n">
        <v>323768.66</v>
      </c>
      <c r="G95" s="302" t="n">
        <v>86.292</v>
      </c>
      <c r="H95" s="303" t="n">
        <v>3811.990103369953</v>
      </c>
      <c r="I95" s="303" t="n">
        <v>328944.25</v>
      </c>
      <c r="J95" s="302" t="n">
        <v>162.4</v>
      </c>
      <c r="K95" s="304" t="n">
        <v>3690.792201256438</v>
      </c>
      <c r="L95" s="303" t="n">
        <v>599384.6534840455</v>
      </c>
      <c r="M95" s="302" t="n">
        <v>14.44900000000004</v>
      </c>
      <c r="N95" s="303" t="n">
        <v>3690.792201256435</v>
      </c>
      <c r="O95" s="303" t="n">
        <v>53328.25651595439</v>
      </c>
      <c r="P95" s="318" t="inlineStr">
        <is>
          <t>1月</t>
        </is>
      </c>
      <c r="W95" s="298" t="n"/>
      <c r="X95" s="298">
        <f>W94-X94</f>
        <v/>
      </c>
    </row>
    <row r="96">
      <c r="B96" s="301" t="inlineStr">
        <is>
          <t>带钢</t>
        </is>
      </c>
      <c r="C96" s="301" t="inlineStr">
        <is>
          <t>吨</t>
        </is>
      </c>
      <c r="D96" s="302" t="n">
        <v>14.44900000000004</v>
      </c>
      <c r="E96" s="303" t="n">
        <v>3690.792442383546</v>
      </c>
      <c r="F96" s="303" t="n">
        <v>53328.26</v>
      </c>
      <c r="G96" s="302" t="n">
        <v>58.107</v>
      </c>
      <c r="H96" s="303" t="n">
        <v>3460.201868965873</v>
      </c>
      <c r="I96" s="303" t="n">
        <v>201061.95</v>
      </c>
      <c r="J96" s="302" t="n">
        <v>41.5</v>
      </c>
      <c r="K96" s="304" t="n">
        <v>3506.12230552952</v>
      </c>
      <c r="L96" s="303" t="n">
        <v>145504.0756794751</v>
      </c>
      <c r="M96" s="302" t="n">
        <v>31.05600000000004</v>
      </c>
      <c r="N96" s="303" t="n">
        <v>3506.12230552952</v>
      </c>
      <c r="O96" s="303" t="n">
        <v>108886.1343205249</v>
      </c>
      <c r="P96" s="318" t="inlineStr">
        <is>
          <t>2月</t>
        </is>
      </c>
    </row>
    <row r="97">
      <c r="B97" s="307" t="inlineStr">
        <is>
          <t>镀锌卷板</t>
        </is>
      </c>
      <c r="C97" s="312" t="inlineStr">
        <is>
          <t>吨</t>
        </is>
      </c>
      <c r="D97" s="302" t="n"/>
      <c r="E97" s="303" t="n"/>
      <c r="F97" s="303" t="n"/>
      <c r="G97" s="302" t="n">
        <v>23.948</v>
      </c>
      <c r="H97" s="303" t="n">
        <v>3734.677217304159</v>
      </c>
      <c r="I97" s="303" t="n">
        <v>89438.05</v>
      </c>
      <c r="J97" s="302" t="n">
        <v>23.948</v>
      </c>
      <c r="K97" s="304" t="n">
        <v>3734.677217304159</v>
      </c>
      <c r="L97" s="303" t="n">
        <v>89438.05</v>
      </c>
      <c r="M97" s="302" t="n">
        <v>0</v>
      </c>
      <c r="N97" s="303" t="e">
        <v>#DIV/0!</v>
      </c>
      <c r="O97" s="303" t="n">
        <v>0</v>
      </c>
      <c r="P97" s="318" t="inlineStr">
        <is>
          <t>2月</t>
        </is>
      </c>
    </row>
    <row r="98">
      <c r="B98" s="301" t="n"/>
      <c r="C98" s="301" t="n"/>
      <c r="D98" s="317" t="n"/>
      <c r="E98" s="301" t="n"/>
      <c r="F98" s="301" t="n"/>
      <c r="G98" s="302" t="n"/>
      <c r="H98" s="303" t="n"/>
      <c r="I98" s="303" t="n"/>
      <c r="J98" s="302" t="n"/>
      <c r="K98" s="304" t="n"/>
      <c r="L98" s="303" t="n"/>
      <c r="M98" s="302" t="n"/>
      <c r="N98" s="303" t="n"/>
      <c r="O98" s="303" t="n"/>
      <c r="P98" s="318" t="n"/>
    </row>
    <row r="99">
      <c r="B99" s="301" t="n"/>
      <c r="C99" s="301" t="n"/>
      <c r="D99" s="302" t="n"/>
      <c r="E99" s="303" t="n"/>
      <c r="F99" s="303" t="n"/>
      <c r="G99" s="302" t="n"/>
      <c r="H99" s="303" t="n"/>
      <c r="I99" s="303" t="n"/>
      <c r="J99" s="302" t="n"/>
      <c r="K99" s="304" t="n"/>
      <c r="L99" s="303" t="n"/>
      <c r="M99" s="302" t="n"/>
      <c r="N99" s="303" t="n"/>
      <c r="O99" s="303" t="n"/>
      <c r="P99" s="318" t="n"/>
    </row>
    <row r="100">
      <c r="B100" s="312" t="n"/>
      <c r="C100" s="312" t="n"/>
      <c r="D100" s="302" t="n"/>
      <c r="E100" s="303" t="n"/>
      <c r="F100" s="303" t="n"/>
      <c r="G100" s="302" t="n"/>
      <c r="H100" s="303" t="n"/>
      <c r="I100" s="303" t="n"/>
      <c r="J100" s="302" t="n"/>
      <c r="K100" s="304" t="n"/>
      <c r="L100" s="303" t="n"/>
      <c r="M100" s="302" t="n"/>
      <c r="N100" s="303" t="n"/>
      <c r="O100" s="303" t="n"/>
      <c r="P100" s="318" t="n"/>
    </row>
    <row r="102">
      <c r="H102" s="324" t="n"/>
      <c r="I102" s="324" t="n"/>
      <c r="J102" s="326">
        <f>SUM(J93:J100)</f>
        <v/>
      </c>
      <c r="K102" s="325">
        <f>L102/J102</f>
        <v/>
      </c>
      <c r="L102" s="324">
        <f>SUM(L93:L100)</f>
        <v/>
      </c>
      <c r="M102" s="324" t="n"/>
      <c r="N102" s="324" t="n"/>
      <c r="O102" s="324" t="n"/>
      <c r="P102" s="298" t="n"/>
    </row>
    <row r="103">
      <c r="G103" s="0">
        <f>K102*1.13</f>
        <v/>
      </c>
      <c r="H103" s="324" t="n"/>
      <c r="I103" s="324" t="n"/>
      <c r="J103" s="326">
        <f>J102*0.12</f>
        <v/>
      </c>
      <c r="K103" s="298" t="n">
        <v>2519.91</v>
      </c>
      <c r="L103" s="298">
        <f>J103*K103</f>
        <v/>
      </c>
      <c r="M103" s="324" t="n"/>
      <c r="P103" s="298" t="n"/>
    </row>
    <row r="104">
      <c r="H104" s="324" t="n"/>
      <c r="I104" s="390" t="n"/>
      <c r="J104" s="324" t="n"/>
      <c r="K104" s="298" t="n"/>
      <c r="L104" s="298" t="n"/>
      <c r="M104" s="324" t="n"/>
      <c r="N104" s="298" t="n"/>
      <c r="O104" s="298" t="n"/>
      <c r="P104" s="298" t="n"/>
    </row>
    <row r="105">
      <c r="G105" s="0">
        <f>K106/G103</f>
        <v/>
      </c>
      <c r="I105" s="400" t="inlineStr">
        <is>
          <t>预测废料</t>
        </is>
      </c>
      <c r="J105" s="306">
        <f>J83-U74+J103-U91</f>
        <v/>
      </c>
      <c r="K105" s="298">
        <f>L105/J105</f>
        <v/>
      </c>
      <c r="L105" s="298">
        <f>L84-Y74+L103-Y91</f>
        <v/>
      </c>
    </row>
    <row r="106">
      <c r="K106" s="0">
        <f>V91*1.13</f>
        <v/>
      </c>
      <c r="L106" s="155">
        <f>J105*K106</f>
        <v/>
      </c>
    </row>
    <row r="109" customFormat="1" s="213">
      <c r="R109" s="213" t="inlineStr">
        <is>
          <t>以上废料已结算</t>
        </is>
      </c>
    </row>
    <row r="111">
      <c r="U111" s="0" t="inlineStr">
        <is>
          <t>数量</t>
        </is>
      </c>
      <c r="V111" s="0" t="inlineStr">
        <is>
          <t>单价</t>
        </is>
      </c>
      <c r="W111" s="0" t="inlineStr">
        <is>
          <t>金额</t>
        </is>
      </c>
      <c r="X111" s="0" t="inlineStr">
        <is>
          <t>税额</t>
        </is>
      </c>
      <c r="Y111" s="0" t="inlineStr">
        <is>
          <t>含税金额</t>
        </is>
      </c>
    </row>
    <row r="112">
      <c r="B112" s="301" t="inlineStr">
        <is>
          <t>品名</t>
        </is>
      </c>
      <c r="C112" s="301" t="inlineStr">
        <is>
          <t>单位</t>
        </is>
      </c>
      <c r="D112" s="301" t="inlineStr">
        <is>
          <t>上月结存</t>
        </is>
      </c>
      <c r="E112" s="267" t="n"/>
      <c r="F112" s="266" t="n"/>
      <c r="G112" s="301" t="inlineStr">
        <is>
          <t>本月进仓数</t>
        </is>
      </c>
      <c r="H112" s="267" t="n"/>
      <c r="I112" s="266" t="n"/>
      <c r="J112" s="301" t="inlineStr">
        <is>
          <t>本月发出数</t>
        </is>
      </c>
      <c r="K112" s="267" t="n"/>
      <c r="L112" s="266" t="n"/>
      <c r="M112" s="301" t="inlineStr">
        <is>
          <t>本月结余</t>
        </is>
      </c>
      <c r="N112" s="267" t="n"/>
      <c r="O112" s="266" t="n"/>
      <c r="P112" s="301" t="inlineStr">
        <is>
          <t>备注</t>
        </is>
      </c>
      <c r="R112" s="224" t="inlineStr">
        <is>
          <t>2025.05.27</t>
        </is>
      </c>
      <c r="S112" s="57" t="inlineStr">
        <is>
          <t>*金属制品*废铁</t>
        </is>
      </c>
      <c r="T112" s="57" t="inlineStr">
        <is>
          <t>吨</t>
        </is>
      </c>
      <c r="U112" s="389" t="n">
        <v>41.767</v>
      </c>
      <c r="V112" s="155">
        <f>W112/U112</f>
        <v/>
      </c>
      <c r="W112" s="155" t="n">
        <v>89380.53</v>
      </c>
      <c r="X112" s="155" t="n">
        <v>11619.47</v>
      </c>
      <c r="Y112" s="155">
        <f>W112+X112</f>
        <v/>
      </c>
    </row>
    <row r="113">
      <c r="B113" s="268" t="n"/>
      <c r="C113" s="268" t="n"/>
      <c r="D113" s="301" t="inlineStr">
        <is>
          <t>数量</t>
        </is>
      </c>
      <c r="E113" s="301" t="inlineStr">
        <is>
          <t>单价</t>
        </is>
      </c>
      <c r="F113" s="301" t="inlineStr">
        <is>
          <t>金额</t>
        </is>
      </c>
      <c r="G113" s="301" t="inlineStr">
        <is>
          <t>数量</t>
        </is>
      </c>
      <c r="H113" s="301" t="inlineStr">
        <is>
          <t>单价</t>
        </is>
      </c>
      <c r="I113" s="301" t="inlineStr">
        <is>
          <t>金额</t>
        </is>
      </c>
      <c r="J113" s="301" t="inlineStr">
        <is>
          <t>数量</t>
        </is>
      </c>
      <c r="K113" s="301" t="inlineStr">
        <is>
          <t>单价</t>
        </is>
      </c>
      <c r="L113" s="301" t="inlineStr">
        <is>
          <t>金额</t>
        </is>
      </c>
      <c r="M113" s="301" t="inlineStr">
        <is>
          <t>数量</t>
        </is>
      </c>
      <c r="N113" s="301" t="inlineStr">
        <is>
          <t>单价</t>
        </is>
      </c>
      <c r="O113" s="301" t="inlineStr">
        <is>
          <t>金额</t>
        </is>
      </c>
      <c r="P113" s="268" t="n"/>
      <c r="R113" s="0" t="inlineStr">
        <is>
          <t>2025.09.24</t>
        </is>
      </c>
      <c r="S113" s="0" t="inlineStr">
        <is>
          <t>*金属制品*废铁</t>
        </is>
      </c>
      <c r="T113" s="0" t="inlineStr">
        <is>
          <t>吨</t>
        </is>
      </c>
      <c r="U113" s="389" t="n">
        <v>33.42</v>
      </c>
      <c r="V113" s="155" t="n">
        <v>2139.97965290245</v>
      </c>
      <c r="W113" s="155" t="n">
        <v>71518.12</v>
      </c>
      <c r="X113" s="155" t="n">
        <v>9297.360000000001</v>
      </c>
      <c r="Y113" s="155" t="n">
        <v>80815.48</v>
      </c>
    </row>
    <row r="114">
      <c r="B114" s="301" t="inlineStr">
        <is>
          <t>带钢</t>
        </is>
      </c>
      <c r="C114" s="301" t="inlineStr">
        <is>
          <t>吨</t>
        </is>
      </c>
      <c r="D114" s="302" t="n">
        <v>31.05600000000004</v>
      </c>
      <c r="E114" s="303" t="n">
        <v>3506.122166409063</v>
      </c>
      <c r="F114" s="303" t="n">
        <v>108886.13</v>
      </c>
      <c r="G114" s="302" t="n">
        <v>101.234</v>
      </c>
      <c r="H114" s="303" t="n">
        <v>3596.757611079281</v>
      </c>
      <c r="I114" s="303" t="n">
        <v>364114.16</v>
      </c>
      <c r="J114" s="302" t="n">
        <v>68</v>
      </c>
      <c r="K114" s="304" t="n">
        <v>3575.480308413333</v>
      </c>
      <c r="L114" s="303" t="n">
        <v>243132.6609721066</v>
      </c>
      <c r="M114" s="302" t="n">
        <v>64.29000000000005</v>
      </c>
      <c r="N114" s="303" t="n">
        <v>3575.480308413333</v>
      </c>
      <c r="O114" s="303" t="n">
        <v>229867.6290278934</v>
      </c>
      <c r="P114" s="318" t="inlineStr">
        <is>
          <t>3月</t>
        </is>
      </c>
      <c r="R114" s="0" t="inlineStr">
        <is>
          <t>2025.09.24</t>
        </is>
      </c>
      <c r="S114" s="0" t="inlineStr">
        <is>
          <t>*金属制品*废铁</t>
        </is>
      </c>
      <c r="T114" s="0" t="inlineStr">
        <is>
          <t>吨</t>
        </is>
      </c>
      <c r="U114" s="389" t="n">
        <v>30.435</v>
      </c>
      <c r="V114" s="155" t="n">
        <v>2139.97962871694</v>
      </c>
      <c r="W114" s="0" t="n">
        <v>65130.28</v>
      </c>
      <c r="X114" s="155" t="n">
        <v>8466.940000000001</v>
      </c>
      <c r="Y114" s="155" t="n">
        <v>73597.22</v>
      </c>
    </row>
    <row r="115">
      <c r="B115" s="307" t="inlineStr">
        <is>
          <t>镀锌卷板</t>
        </is>
      </c>
      <c r="C115" s="312" t="inlineStr">
        <is>
          <t>吨</t>
        </is>
      </c>
      <c r="D115" s="302" t="n"/>
      <c r="E115" s="303" t="n"/>
      <c r="F115" s="303" t="n"/>
      <c r="G115" s="302" t="n">
        <v>12.34</v>
      </c>
      <c r="H115" s="303" t="n">
        <v>3743.491896272285</v>
      </c>
      <c r="I115" s="303" t="n">
        <v>46194.69</v>
      </c>
      <c r="J115" s="302" t="n">
        <v>12.34</v>
      </c>
      <c r="K115" s="304" t="n">
        <v>3743.491896272285</v>
      </c>
      <c r="L115" s="303" t="n">
        <v>46194.69</v>
      </c>
      <c r="M115" s="302" t="n">
        <v>0</v>
      </c>
      <c r="N115" s="303" t="e">
        <v>#DIV/0!</v>
      </c>
      <c r="O115" s="303" t="n">
        <v>0</v>
      </c>
      <c r="P115" s="318" t="inlineStr">
        <is>
          <t>3月</t>
        </is>
      </c>
    </row>
    <row r="116">
      <c r="B116" s="301" t="inlineStr">
        <is>
          <t>带钢</t>
        </is>
      </c>
      <c r="C116" s="301" t="inlineStr">
        <is>
          <t>吨</t>
        </is>
      </c>
      <c r="D116" s="302" t="n">
        <v>64.29000000000005</v>
      </c>
      <c r="E116" s="303" t="n">
        <v>3575.480323533984</v>
      </c>
      <c r="F116" s="303" t="n">
        <v>229867.63</v>
      </c>
      <c r="G116" s="302" t="n">
        <v>122.304</v>
      </c>
      <c r="H116" s="303" t="n">
        <v>3482.306384092098</v>
      </c>
      <c r="I116" s="303" t="n">
        <v>425900</v>
      </c>
      <c r="J116" s="302" t="n">
        <v>152</v>
      </c>
      <c r="K116" s="304" t="n">
        <v>3514.40898421171</v>
      </c>
      <c r="L116" s="303" t="n">
        <v>534190.1656001799</v>
      </c>
      <c r="M116" s="302" t="n">
        <v>34.59400000000005</v>
      </c>
      <c r="N116" s="303" t="n">
        <v>3514.40898421171</v>
      </c>
      <c r="O116" s="303" t="n">
        <v>121577.4643998201</v>
      </c>
      <c r="P116" s="318" t="inlineStr">
        <is>
          <t>4月</t>
        </is>
      </c>
    </row>
    <row r="117">
      <c r="B117" s="301" t="inlineStr">
        <is>
          <t>带钢</t>
        </is>
      </c>
      <c r="C117" s="301" t="inlineStr">
        <is>
          <t>吨</t>
        </is>
      </c>
      <c r="D117" s="302" t="n">
        <v>34.59400000000005</v>
      </c>
      <c r="E117" s="303" t="n">
        <v>3514.408857027225</v>
      </c>
      <c r="F117" s="303" t="n">
        <v>121577.46</v>
      </c>
      <c r="G117" s="302" t="n">
        <v>48.189</v>
      </c>
      <c r="H117" s="303" t="n">
        <v>3783.535246633049</v>
      </c>
      <c r="I117" s="303" t="n">
        <v>182324.78</v>
      </c>
      <c r="J117" s="302" t="n">
        <v>41</v>
      </c>
      <c r="K117" s="304" t="n">
        <v>3671.070630443447</v>
      </c>
      <c r="L117" s="303" t="n">
        <v>150513.8958481813</v>
      </c>
      <c r="M117" s="302" t="n">
        <v>41.78300000000004</v>
      </c>
      <c r="N117" s="303" t="n">
        <v>3671.070630443447</v>
      </c>
      <c r="O117" s="303" t="n">
        <v>153388.3441518187</v>
      </c>
      <c r="P117" s="318" t="inlineStr">
        <is>
          <t>5月</t>
        </is>
      </c>
    </row>
    <row r="118">
      <c r="B118" s="307" t="inlineStr">
        <is>
          <t>镀锌卷板</t>
        </is>
      </c>
      <c r="C118" s="312" t="inlineStr">
        <is>
          <t>吨</t>
        </is>
      </c>
      <c r="D118" s="302" t="n"/>
      <c r="E118" s="303" t="n"/>
      <c r="F118" s="303" t="n"/>
      <c r="G118" s="302" t="n">
        <v>24.566</v>
      </c>
      <c r="H118" s="303" t="n">
        <v>3656.395424570544</v>
      </c>
      <c r="I118" s="303" t="n">
        <v>89823.00999999999</v>
      </c>
      <c r="J118" s="302" t="n">
        <v>24.566</v>
      </c>
      <c r="K118" s="304" t="n">
        <v>3656.395424570544</v>
      </c>
      <c r="L118" s="303" t="n">
        <v>89823.00999999999</v>
      </c>
      <c r="M118" s="302" t="n">
        <v>0</v>
      </c>
      <c r="N118" s="303" t="e">
        <v>#DIV/0!</v>
      </c>
      <c r="O118" s="303" t="n">
        <v>0</v>
      </c>
      <c r="P118" s="318" t="inlineStr">
        <is>
          <t>5月</t>
        </is>
      </c>
    </row>
    <row r="119">
      <c r="B119" s="301" t="inlineStr">
        <is>
          <t>带钢</t>
        </is>
      </c>
      <c r="C119" s="301" t="inlineStr">
        <is>
          <t>吨</t>
        </is>
      </c>
      <c r="D119" s="302" t="n">
        <v>41.78300000000004</v>
      </c>
      <c r="E119" s="303" t="n">
        <v>3671.070531077228</v>
      </c>
      <c r="F119" s="303" t="n">
        <v>153388.34</v>
      </c>
      <c r="G119" s="302" t="n">
        <v>14.102</v>
      </c>
      <c r="H119" s="303" t="n">
        <v>3407.161395546731</v>
      </c>
      <c r="I119" s="303" t="n">
        <v>48047.79</v>
      </c>
      <c r="J119" s="302" t="n">
        <v>49.2</v>
      </c>
      <c r="K119" s="304" t="n">
        <v>3604.475798514804</v>
      </c>
      <c r="L119" s="303" t="n">
        <v>177340.2092869284</v>
      </c>
      <c r="M119" s="302" t="n">
        <v>6.685000000000045</v>
      </c>
      <c r="N119" s="303" t="n">
        <v>3604.475798514804</v>
      </c>
      <c r="O119" s="303" t="n">
        <v>24095.92071307162</v>
      </c>
      <c r="P119" s="318" t="inlineStr">
        <is>
          <t>6月</t>
        </is>
      </c>
      <c r="W119" s="298">
        <f>SUM(W112:W118)-W112</f>
        <v/>
      </c>
      <c r="X119" s="298">
        <f>W119*测算表!G25</f>
        <v/>
      </c>
    </row>
    <row r="120">
      <c r="B120" s="307" t="inlineStr">
        <is>
          <t>镀锌卷板</t>
        </is>
      </c>
      <c r="C120" s="312" t="inlineStr">
        <is>
          <t>吨</t>
        </is>
      </c>
      <c r="D120" s="302" t="n"/>
      <c r="E120" s="303" t="n"/>
      <c r="F120" s="303" t="n"/>
      <c r="G120" s="302" t="n">
        <v>16.2</v>
      </c>
      <c r="H120" s="303" t="n">
        <v>3751.93950617284</v>
      </c>
      <c r="I120" s="303" t="n">
        <v>60781.42</v>
      </c>
      <c r="J120" s="302" t="n">
        <v>16.2</v>
      </c>
      <c r="K120" s="304" t="n">
        <v>3751.93950617284</v>
      </c>
      <c r="L120" s="303" t="n">
        <v>60781.42</v>
      </c>
      <c r="M120" s="302" t="n">
        <v>0</v>
      </c>
      <c r="N120" s="303" t="e">
        <v>#DIV/0!</v>
      </c>
      <c r="O120" s="303" t="n">
        <v>0</v>
      </c>
      <c r="P120" s="318" t="inlineStr">
        <is>
          <t>6月</t>
        </is>
      </c>
      <c r="W120" s="298" t="n"/>
      <c r="X120" s="298">
        <f>W119-X119</f>
        <v/>
      </c>
    </row>
    <row r="121">
      <c r="B121" s="307" t="inlineStr">
        <is>
          <t>冷轧卷板</t>
        </is>
      </c>
      <c r="C121" s="307" t="inlineStr">
        <is>
          <t>吨</t>
        </is>
      </c>
      <c r="D121" s="302" t="n"/>
      <c r="E121" s="303" t="n"/>
      <c r="F121" s="303" t="n"/>
      <c r="G121" s="302" t="n">
        <v>68.93600000000001</v>
      </c>
      <c r="H121" s="303" t="n">
        <v>3210.621881165138</v>
      </c>
      <c r="I121" s="303" t="n">
        <v>221327.43</v>
      </c>
      <c r="J121" s="302" t="n">
        <v>18.5</v>
      </c>
      <c r="K121" s="304" t="n">
        <v>3210.621881165138</v>
      </c>
      <c r="L121" s="303" t="n">
        <v>59396.50480155506</v>
      </c>
      <c r="M121" s="302" t="n">
        <v>50.43600000000001</v>
      </c>
      <c r="N121" s="303" t="n">
        <v>3210.621881165138</v>
      </c>
      <c r="O121" s="303" t="n">
        <v>161930.9251984449</v>
      </c>
      <c r="P121" s="318" t="inlineStr">
        <is>
          <t>7月</t>
        </is>
      </c>
    </row>
    <row r="122">
      <c r="B122" s="301" t="inlineStr">
        <is>
          <t>带钢</t>
        </is>
      </c>
      <c r="C122" s="301" t="inlineStr">
        <is>
          <t>吨</t>
        </is>
      </c>
      <c r="D122" s="302" t="n">
        <v>166.429</v>
      </c>
      <c r="E122" s="303" t="n">
        <v>3822.716954376941</v>
      </c>
      <c r="F122" s="303" t="n">
        <v>636210.96</v>
      </c>
      <c r="G122" s="302" t="n">
        <v>35.005</v>
      </c>
      <c r="H122" s="303" t="n">
        <v>3394.28138837309</v>
      </c>
      <c r="I122" s="303" t="n">
        <v>118816.82</v>
      </c>
      <c r="J122" s="302" t="n">
        <v>112</v>
      </c>
      <c r="K122" s="304" t="n">
        <v>3748.263848208346</v>
      </c>
      <c r="L122" s="303" t="n">
        <v>419805.5509993347</v>
      </c>
      <c r="M122" s="302" t="n">
        <v>89.43400000000003</v>
      </c>
      <c r="N122" s="303" t="n">
        <v>3748.263848208346</v>
      </c>
      <c r="O122" s="303" t="n">
        <v>335222.2290006653</v>
      </c>
      <c r="P122" s="318" t="inlineStr">
        <is>
          <t>8月</t>
        </is>
      </c>
    </row>
    <row r="123">
      <c r="B123" s="307" t="inlineStr">
        <is>
          <t>镀锌卷板</t>
        </is>
      </c>
      <c r="C123" s="312" t="inlineStr">
        <is>
          <t>吨</t>
        </is>
      </c>
      <c r="D123" s="302" t="n"/>
      <c r="E123" s="303" t="n"/>
      <c r="F123" s="303" t="n"/>
      <c r="G123" s="302" t="n">
        <v>12.48</v>
      </c>
      <c r="H123" s="303" t="n">
        <v>3460.333333333333</v>
      </c>
      <c r="I123" s="303" t="n">
        <v>43184.96</v>
      </c>
      <c r="J123" s="302" t="n">
        <v>12.48</v>
      </c>
      <c r="K123" s="304" t="n">
        <v>3460.333333333333</v>
      </c>
      <c r="L123" s="303" t="n">
        <v>43184.96</v>
      </c>
      <c r="M123" s="302" t="n">
        <v>0</v>
      </c>
      <c r="N123" s="303" t="e">
        <v>#DIV/0!</v>
      </c>
      <c r="O123" s="303" t="n">
        <v>0</v>
      </c>
      <c r="P123" s="318" t="inlineStr">
        <is>
          <t>8月</t>
        </is>
      </c>
      <c r="R123" s="224" t="n"/>
    </row>
    <row r="124">
      <c r="B124" s="307" t="inlineStr">
        <is>
          <t>冷轧卷板</t>
        </is>
      </c>
      <c r="C124" s="307" t="inlineStr">
        <is>
          <t>吨</t>
        </is>
      </c>
      <c r="D124" s="302" t="n">
        <v>50.43600000000001</v>
      </c>
      <c r="E124" s="303" t="n">
        <v>3210.621976366087</v>
      </c>
      <c r="F124" s="303" t="n">
        <v>161930.93</v>
      </c>
      <c r="G124" s="302" t="n"/>
      <c r="H124" s="303" t="n"/>
      <c r="I124" s="303" t="n"/>
      <c r="J124" s="302" t="n">
        <v>50.43600000000001</v>
      </c>
      <c r="K124" s="304" t="n">
        <v>3210.621976366087</v>
      </c>
      <c r="L124" s="303" t="n">
        <v>161930.93</v>
      </c>
      <c r="M124" s="302" t="n">
        <v>0</v>
      </c>
      <c r="N124" s="303" t="e">
        <v>#DIV/0!</v>
      </c>
      <c r="O124" s="303" t="n">
        <v>0</v>
      </c>
      <c r="P124" s="318" t="inlineStr">
        <is>
          <t>8月</t>
        </is>
      </c>
      <c r="R124" s="224" t="n"/>
    </row>
    <row r="125">
      <c r="B125" s="307" t="inlineStr">
        <is>
          <t>带钢</t>
        </is>
      </c>
      <c r="C125" s="307" t="inlineStr">
        <is>
          <t>吨</t>
        </is>
      </c>
      <c r="D125" s="302" t="n">
        <v>89.43400000000003</v>
      </c>
      <c r="E125" s="303" t="n">
        <v>3748.263859382337</v>
      </c>
      <c r="F125" s="303" t="n">
        <v>335222.23</v>
      </c>
      <c r="G125" s="302" t="n">
        <v>98.505</v>
      </c>
      <c r="H125" s="303" t="n">
        <v>3404.651845084006</v>
      </c>
      <c r="I125" s="303" t="n">
        <v>335375.23</v>
      </c>
      <c r="J125" s="302" t="n">
        <v>152.7</v>
      </c>
      <c r="K125" s="304" t="n">
        <v>3568.165521791645</v>
      </c>
      <c r="L125" s="303" t="n">
        <v>544858.8751775841</v>
      </c>
      <c r="M125" s="302" t="n">
        <v>35.23900000000003</v>
      </c>
      <c r="N125" s="303" t="n">
        <v>3568.165521791644</v>
      </c>
      <c r="O125" s="303" t="n">
        <v>125738.5848224158</v>
      </c>
      <c r="P125" s="318" t="inlineStr">
        <is>
          <t>9月</t>
        </is>
      </c>
    </row>
    <row r="126">
      <c r="B126" s="301" t="inlineStr">
        <is>
          <t>镀锌卷板</t>
        </is>
      </c>
      <c r="C126" s="301" t="inlineStr">
        <is>
          <t>吨</t>
        </is>
      </c>
      <c r="D126" s="302" t="n"/>
      <c r="E126" s="303" t="n"/>
      <c r="F126" s="303" t="n"/>
      <c r="G126" s="302" t="n">
        <v>14.06</v>
      </c>
      <c r="H126" s="303" t="n">
        <v>3540.389758179232</v>
      </c>
      <c r="I126" s="303" t="n">
        <v>49777.88</v>
      </c>
      <c r="J126" s="302" t="n">
        <v>14.06</v>
      </c>
      <c r="K126" s="304" t="n">
        <v>3540.389758179232</v>
      </c>
      <c r="L126" s="303" t="n">
        <v>49777.88</v>
      </c>
      <c r="M126" s="302" t="n">
        <v>0</v>
      </c>
      <c r="N126" s="303" t="e">
        <v>#DIV/0!</v>
      </c>
      <c r="O126" s="303" t="n">
        <v>0</v>
      </c>
      <c r="P126" s="318" t="inlineStr">
        <is>
          <t>9月</t>
        </is>
      </c>
    </row>
    <row r="127">
      <c r="B127" s="301" t="inlineStr">
        <is>
          <t>带钢</t>
        </is>
      </c>
      <c r="C127" s="301" t="inlineStr">
        <is>
          <t>吨</t>
        </is>
      </c>
      <c r="D127" s="302" t="n">
        <v>35.23900000000003</v>
      </c>
      <c r="E127" s="303" t="n">
        <v>3568.165384942816</v>
      </c>
      <c r="F127" s="303" t="n">
        <v>125738.58</v>
      </c>
      <c r="G127" s="302" t="n"/>
      <c r="H127" s="303" t="n"/>
      <c r="I127" s="303" t="n"/>
      <c r="J127" s="302" t="n">
        <v>35.23900000000003</v>
      </c>
      <c r="K127" s="304" t="n">
        <v>3568.165384942816</v>
      </c>
      <c r="L127" s="303" t="n">
        <v>125738.58</v>
      </c>
      <c r="M127" s="302" t="n">
        <v>0</v>
      </c>
      <c r="N127" s="303" t="e">
        <v>#DIV/0!</v>
      </c>
      <c r="O127" s="303" t="n">
        <v>0</v>
      </c>
      <c r="P127" s="318" t="inlineStr">
        <is>
          <t>10月</t>
        </is>
      </c>
    </row>
    <row r="128">
      <c r="B128" s="301" t="inlineStr">
        <is>
          <t>镀锌卷板</t>
        </is>
      </c>
      <c r="C128" s="301" t="inlineStr">
        <is>
          <t>吨</t>
        </is>
      </c>
      <c r="D128" s="302" t="n"/>
      <c r="E128" s="303" t="n"/>
      <c r="F128" s="303" t="n"/>
      <c r="G128" s="302" t="n">
        <v>24.177</v>
      </c>
      <c r="H128" s="303" t="n">
        <v>3637.077801216032</v>
      </c>
      <c r="I128" s="303" t="n">
        <v>87933.63</v>
      </c>
      <c r="J128" s="302" t="n">
        <v>24.177</v>
      </c>
      <c r="K128" s="304" t="n">
        <v>3637.077801216032</v>
      </c>
      <c r="L128" s="303" t="n">
        <v>87933.63</v>
      </c>
      <c r="M128" s="302" t="n">
        <v>0</v>
      </c>
      <c r="N128" s="303" t="e">
        <v>#DIV/0!</v>
      </c>
      <c r="O128" s="303" t="n">
        <v>0</v>
      </c>
      <c r="P128" s="318" t="inlineStr">
        <is>
          <t>10月</t>
        </is>
      </c>
    </row>
    <row r="129">
      <c r="B129" s="301" t="inlineStr">
        <is>
          <t>冷轧带钢</t>
        </is>
      </c>
      <c r="C129" s="301" t="inlineStr">
        <is>
          <t>吨</t>
        </is>
      </c>
      <c r="D129" s="302" t="n"/>
      <c r="E129" s="303" t="n"/>
      <c r="F129" s="303" t="n"/>
      <c r="G129" s="302" t="n">
        <v>100.024</v>
      </c>
      <c r="H129" s="303" t="n">
        <v>3184.987902903303</v>
      </c>
      <c r="I129" s="303" t="n">
        <v>318575.23</v>
      </c>
      <c r="J129" s="302" t="n">
        <v>72.5</v>
      </c>
      <c r="K129" s="304" t="n">
        <v>3184.987902903303</v>
      </c>
      <c r="L129" s="303" t="n">
        <v>230911.6229604895</v>
      </c>
      <c r="M129" s="302" t="n">
        <v>27.524</v>
      </c>
      <c r="N129" s="303" t="n">
        <v>3184.987902903303</v>
      </c>
      <c r="O129" s="303" t="n">
        <v>87663.60703951051</v>
      </c>
      <c r="P129" s="318" t="inlineStr">
        <is>
          <t>10月</t>
        </is>
      </c>
    </row>
    <row r="130">
      <c r="B130" s="301" t="inlineStr">
        <is>
          <t>带钢</t>
        </is>
      </c>
      <c r="C130" s="301" t="inlineStr">
        <is>
          <t>吨</t>
        </is>
      </c>
      <c r="D130" s="302" t="n"/>
      <c r="E130" s="303" t="n"/>
      <c r="F130" s="303" t="n"/>
      <c r="G130" s="302" t="n">
        <v>25.477</v>
      </c>
      <c r="H130" s="303" t="n">
        <v>3256.798288652511</v>
      </c>
      <c r="I130" s="303" t="n">
        <v>82973.45000000001</v>
      </c>
      <c r="J130" s="302" t="n">
        <v>25.477</v>
      </c>
      <c r="K130" s="304" t="n">
        <v>3256.798288652511</v>
      </c>
      <c r="L130" s="303" t="n">
        <v>82973.45000000001</v>
      </c>
      <c r="M130" s="302" t="n">
        <v>0</v>
      </c>
      <c r="N130" s="303" t="e">
        <v>#DIV/0!</v>
      </c>
      <c r="O130" s="303" t="n">
        <v>0</v>
      </c>
      <c r="P130" s="318" t="inlineStr">
        <is>
          <t>11月</t>
        </is>
      </c>
    </row>
    <row r="131">
      <c r="B131" s="307" t="inlineStr">
        <is>
          <t>镀锌卷板</t>
        </is>
      </c>
      <c r="C131" s="312" t="inlineStr">
        <is>
          <t>吨</t>
        </is>
      </c>
      <c r="D131" s="302" t="n"/>
      <c r="E131" s="303" t="n"/>
      <c r="F131" s="303" t="n"/>
      <c r="G131" s="302" t="n">
        <v>8.507999999999999</v>
      </c>
      <c r="H131" s="303" t="n">
        <v>3681.386929948284</v>
      </c>
      <c r="I131" s="303" t="n">
        <v>31321.24</v>
      </c>
      <c r="J131" s="302" t="n">
        <v>8.507999999999999</v>
      </c>
      <c r="K131" s="304" t="n">
        <v>3681.386929948284</v>
      </c>
      <c r="L131" s="303" t="n">
        <v>31321.24</v>
      </c>
      <c r="M131" s="302" t="n">
        <v>0</v>
      </c>
      <c r="N131" s="303" t="e">
        <v>#DIV/0!</v>
      </c>
      <c r="O131" s="303" t="n">
        <v>0</v>
      </c>
      <c r="P131" s="318" t="inlineStr">
        <is>
          <t>11月</t>
        </is>
      </c>
    </row>
    <row r="132">
      <c r="B132" s="307" t="inlineStr">
        <is>
          <t>冷轧带钢</t>
        </is>
      </c>
      <c r="C132" s="307" t="inlineStr">
        <is>
          <t>吨</t>
        </is>
      </c>
      <c r="D132" s="302" t="n">
        <v>27.524</v>
      </c>
      <c r="E132" s="303" t="n">
        <v>3184.988010463595</v>
      </c>
      <c r="F132" s="303" t="n">
        <v>87663.61</v>
      </c>
      <c r="G132" s="302" t="n">
        <v>80.754</v>
      </c>
      <c r="H132" s="303" t="n">
        <v>3287.598509052183</v>
      </c>
      <c r="I132" s="303" t="n">
        <v>265486.73</v>
      </c>
      <c r="J132" s="302" t="n">
        <v>108.278</v>
      </c>
      <c r="K132" s="304" t="n">
        <v>3261.515173904209</v>
      </c>
      <c r="L132" s="303" t="n">
        <v>353150.34</v>
      </c>
      <c r="M132" s="302" t="n">
        <v>0</v>
      </c>
      <c r="N132" s="303" t="e">
        <v>#DIV/0!</v>
      </c>
      <c r="O132" s="303" t="n">
        <v>0</v>
      </c>
      <c r="P132" s="318" t="inlineStr">
        <is>
          <t>11月</t>
        </is>
      </c>
    </row>
    <row r="133">
      <c r="B133" s="307" t="inlineStr">
        <is>
          <t>冷轧板卷</t>
        </is>
      </c>
      <c r="C133" s="307" t="inlineStr">
        <is>
          <t>吨</t>
        </is>
      </c>
      <c r="D133" s="302" t="n">
        <v>12.318</v>
      </c>
      <c r="E133" s="303" t="n">
        <v>3615.32959896087</v>
      </c>
      <c r="F133" s="303" t="n">
        <v>44533.63</v>
      </c>
      <c r="G133" s="302" t="n"/>
      <c r="H133" s="303" t="n"/>
      <c r="I133" s="303" t="n"/>
      <c r="J133" s="302" t="n">
        <v>12.318</v>
      </c>
      <c r="K133" s="304" t="n">
        <v>3615.32959896087</v>
      </c>
      <c r="L133" s="303" t="n">
        <v>44533.63</v>
      </c>
      <c r="M133" s="302" t="n">
        <v>0</v>
      </c>
      <c r="N133" s="303" t="e">
        <v>#DIV/0!</v>
      </c>
      <c r="O133" s="303" t="n">
        <v>0</v>
      </c>
      <c r="P133" s="318" t="inlineStr">
        <is>
          <t>11月</t>
        </is>
      </c>
    </row>
    <row r="134">
      <c r="B134" s="307" t="inlineStr">
        <is>
          <t>冷轧卷板</t>
        </is>
      </c>
      <c r="C134" s="307" t="inlineStr">
        <is>
          <t>吨</t>
        </is>
      </c>
      <c r="D134" s="302" t="n">
        <v>105.346</v>
      </c>
      <c r="E134" s="303" t="n">
        <v>3165.481366164828</v>
      </c>
      <c r="F134" s="303" t="n">
        <v>333470.8</v>
      </c>
      <c r="G134" s="302" t="n">
        <v>41.671</v>
      </c>
      <c r="H134" s="303" t="n">
        <v>3187.633126154879</v>
      </c>
      <c r="I134" s="303" t="n">
        <v>132831.86</v>
      </c>
      <c r="J134" s="302" t="n">
        <v>69.5</v>
      </c>
      <c r="K134" s="304" t="n">
        <v>3171.760136582844</v>
      </c>
      <c r="L134" s="303" t="n">
        <v>220437.3294925077</v>
      </c>
      <c r="M134" s="302" t="n">
        <v>77.517</v>
      </c>
      <c r="N134" s="303" t="n">
        <v>3171.760136582844</v>
      </c>
      <c r="O134" s="303" t="n">
        <v>245865.3305074923</v>
      </c>
      <c r="P134" s="318" t="inlineStr">
        <is>
          <t>11月</t>
        </is>
      </c>
    </row>
    <row r="135">
      <c r="B135" s="301" t="inlineStr">
        <is>
          <t>带钢</t>
        </is>
      </c>
      <c r="C135" s="301" t="inlineStr">
        <is>
          <t>吨</t>
        </is>
      </c>
      <c r="D135" s="302" t="n"/>
      <c r="E135" s="303" t="n"/>
      <c r="F135" s="303" t="n"/>
      <c r="G135" s="302" t="n">
        <v>32.43</v>
      </c>
      <c r="H135" s="303" t="n">
        <v>3469.173913043478</v>
      </c>
      <c r="I135" s="303" t="n">
        <v>112505.31</v>
      </c>
      <c r="J135" s="302" t="n">
        <v>32.43</v>
      </c>
      <c r="K135" s="304" t="n">
        <v>3469.173913043478</v>
      </c>
      <c r="L135" s="303" t="n">
        <v>112505.31</v>
      </c>
      <c r="M135" s="302" t="n">
        <v>0</v>
      </c>
      <c r="N135" s="303" t="e">
        <v>#DIV/0!</v>
      </c>
      <c r="O135" s="303" t="n">
        <v>0</v>
      </c>
      <c r="P135" s="318" t="inlineStr">
        <is>
          <t>12月</t>
        </is>
      </c>
    </row>
    <row r="136">
      <c r="B136" s="301" t="inlineStr">
        <is>
          <t>冷轧带钢</t>
        </is>
      </c>
      <c r="C136" s="301" t="inlineStr">
        <is>
          <t>吨</t>
        </is>
      </c>
      <c r="D136" s="302" t="n"/>
      <c r="E136" s="303" t="n"/>
      <c r="F136" s="303" t="n"/>
      <c r="G136" s="302" t="n">
        <v>198.272</v>
      </c>
      <c r="H136" s="303" t="n">
        <v>3141.996398886378</v>
      </c>
      <c r="I136" s="303" t="n">
        <v>622969.9099999999</v>
      </c>
      <c r="J136" s="302" t="n">
        <v>119.5</v>
      </c>
      <c r="K136" s="304" t="n">
        <v>3141.996398886378</v>
      </c>
      <c r="L136" s="303" t="n">
        <v>375468.5696669222</v>
      </c>
      <c r="M136" s="302" t="n">
        <v>78.77199999999999</v>
      </c>
      <c r="N136" s="303" t="n">
        <v>3141.996398886378</v>
      </c>
      <c r="O136" s="303" t="n">
        <v>247501.3403330778</v>
      </c>
      <c r="P136" s="318" t="inlineStr">
        <is>
          <t>12月</t>
        </is>
      </c>
    </row>
    <row r="137">
      <c r="B137" s="301" t="inlineStr">
        <is>
          <t>冷轧卷板</t>
        </is>
      </c>
      <c r="C137" s="301" t="inlineStr">
        <is>
          <t>吨</t>
        </is>
      </c>
      <c r="D137" s="302" t="n">
        <v>77.517</v>
      </c>
      <c r="E137" s="303" t="n">
        <v>3171.760130035992</v>
      </c>
      <c r="F137" s="303" t="n">
        <v>245865.33</v>
      </c>
      <c r="G137" s="302" t="n"/>
      <c r="H137" s="303" t="n"/>
      <c r="I137" s="303" t="n"/>
      <c r="J137" s="302" t="n">
        <v>77.517</v>
      </c>
      <c r="K137" s="304" t="n">
        <v>3171.760130035992</v>
      </c>
      <c r="L137" s="303" t="n">
        <v>245865.33</v>
      </c>
      <c r="M137" s="302" t="n">
        <v>0</v>
      </c>
      <c r="N137" s="303" t="e">
        <v>#DIV/0!</v>
      </c>
      <c r="O137" s="303" t="n">
        <v>0</v>
      </c>
      <c r="P137" s="318" t="inlineStr">
        <is>
          <t>12月</t>
        </is>
      </c>
    </row>
    <row r="138">
      <c r="B138" s="312" t="n"/>
      <c r="C138" s="312" t="n"/>
      <c r="D138" s="302" t="n"/>
      <c r="E138" s="303" t="n"/>
      <c r="F138" s="303" t="n"/>
      <c r="G138" s="302" t="n"/>
      <c r="H138" s="303" t="n"/>
      <c r="I138" s="303" t="n"/>
      <c r="J138" s="302" t="n"/>
      <c r="K138" s="304" t="n"/>
      <c r="L138" s="303" t="n"/>
      <c r="M138" s="302" t="n"/>
      <c r="N138" s="303" t="n"/>
      <c r="O138" s="303" t="n"/>
      <c r="P138" s="318" t="n"/>
    </row>
    <row r="140">
      <c r="H140" s="324" t="n"/>
      <c r="I140" s="324" t="n"/>
      <c r="J140" s="326">
        <f>SUM(J114:J138)</f>
        <v/>
      </c>
      <c r="K140" s="325">
        <f>L140/J140</f>
        <v/>
      </c>
      <c r="L140" s="324">
        <f>SUM(L114:L138)</f>
        <v/>
      </c>
      <c r="M140" s="324" t="n"/>
      <c r="N140" s="324" t="n"/>
      <c r="O140" s="324" t="n"/>
      <c r="P140" s="298" t="n"/>
    </row>
    <row r="141">
      <c r="G141" s="155">
        <f>K140*1.13</f>
        <v/>
      </c>
      <c r="H141" s="324" t="n"/>
      <c r="I141" s="324" t="n"/>
      <c r="J141" s="326">
        <f>J140*0.165</f>
        <v/>
      </c>
      <c r="K141" s="298">
        <f>V114*1.13</f>
        <v/>
      </c>
      <c r="L141" s="298">
        <f>J141*K141</f>
        <v/>
      </c>
      <c r="M141" s="324" t="n"/>
      <c r="P141" s="298" t="n"/>
    </row>
    <row r="142">
      <c r="H142" s="324" t="n"/>
      <c r="I142" s="390" t="n"/>
      <c r="J142" s="324" t="n"/>
      <c r="K142" s="298" t="n"/>
      <c r="L142" s="298" t="n"/>
      <c r="M142" s="324" t="n"/>
      <c r="N142" s="298" t="n"/>
      <c r="O142" s="298" t="n"/>
      <c r="P142" s="298" t="n"/>
    </row>
    <row r="143">
      <c r="G143" s="232">
        <f>K144/G141</f>
        <v/>
      </c>
      <c r="I143" s="400" t="inlineStr">
        <is>
          <t>预测废料</t>
        </is>
      </c>
      <c r="J143" s="306">
        <f>J105+J141-SUM(U112:U118)</f>
        <v/>
      </c>
      <c r="K143" s="298">
        <f>L143/J143</f>
        <v/>
      </c>
      <c r="L143" s="298">
        <f>L105+L141-SUM(Y112:Y118)</f>
        <v/>
      </c>
    </row>
    <row r="144">
      <c r="K144" s="155">
        <f>V114*1.13</f>
        <v/>
      </c>
      <c r="L144" s="155">
        <f>J143*K144</f>
        <v/>
      </c>
    </row>
    <row r="146">
      <c r="I146" s="57" t="n"/>
      <c r="J146" s="389" t="n"/>
      <c r="K146" s="155" t="n"/>
      <c r="L146" s="155" t="n"/>
      <c r="M146" s="346" t="n"/>
      <c r="N146" s="155" t="n"/>
    </row>
    <row r="147">
      <c r="I147" s="57" t="n"/>
      <c r="J147" s="389" t="n"/>
      <c r="K147" s="155" t="n"/>
      <c r="L147" s="155" t="n"/>
      <c r="M147" s="346" t="n"/>
      <c r="N147" s="155" t="n"/>
    </row>
    <row r="148">
      <c r="J148" s="389" t="n"/>
      <c r="L148" s="155" t="n"/>
      <c r="M148" s="155" t="n"/>
      <c r="N148" s="155" t="n"/>
    </row>
    <row r="151">
      <c r="N151" s="346" t="n"/>
    </row>
  </sheetData>
  <mergeCells count="35">
    <mergeCell ref="D2:F2"/>
    <mergeCell ref="G112:I112"/>
    <mergeCell ref="P72:P73"/>
    <mergeCell ref="D48:F48"/>
    <mergeCell ref="B2:B3"/>
    <mergeCell ref="C112:C113"/>
    <mergeCell ref="D91:F91"/>
    <mergeCell ref="P2:P3"/>
    <mergeCell ref="D72:F72"/>
    <mergeCell ref="D112:F112"/>
    <mergeCell ref="B48:B49"/>
    <mergeCell ref="J91:L91"/>
    <mergeCell ref="M91:O91"/>
    <mergeCell ref="C2:C3"/>
    <mergeCell ref="G91:I91"/>
    <mergeCell ref="M72:O72"/>
    <mergeCell ref="P91:P92"/>
    <mergeCell ref="J2:L2"/>
    <mergeCell ref="P48:P49"/>
    <mergeCell ref="B112:B113"/>
    <mergeCell ref="M112:O112"/>
    <mergeCell ref="C91:C92"/>
    <mergeCell ref="C72:C73"/>
    <mergeCell ref="P112:P113"/>
    <mergeCell ref="J48:L48"/>
    <mergeCell ref="G72:I72"/>
    <mergeCell ref="C48:C49"/>
    <mergeCell ref="J72:L72"/>
    <mergeCell ref="G2:I2"/>
    <mergeCell ref="J112:L112"/>
    <mergeCell ref="M48:O48"/>
    <mergeCell ref="B91:B92"/>
    <mergeCell ref="G48:I48"/>
    <mergeCell ref="B72:B73"/>
    <mergeCell ref="M2:O2"/>
  </mergeCells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H16"/>
  <sheetViews>
    <sheetView workbookViewId="0">
      <selection activeCell="E40" sqref="E40"/>
    </sheetView>
  </sheetViews>
  <sheetFormatPr baseColWidth="8" defaultRowHeight="15.6"/>
  <cols>
    <col width="20.09765625" customWidth="1" style="264" min="1" max="1"/>
    <col hidden="1" width="14.59765625" customWidth="1" style="264" min="2" max="2"/>
    <col hidden="1" width="6" customWidth="1" style="264" min="3" max="3"/>
    <col hidden="1" width="16.3984375" customWidth="1" style="264" min="4" max="4"/>
    <col width="45.69921875" customWidth="1" style="264" min="5" max="5"/>
    <col width="10.5" bestFit="1" customWidth="1" style="264" min="6" max="6"/>
  </cols>
  <sheetData>
    <row r="1" ht="73.5" customHeight="1" s="264">
      <c r="A1" s="261" t="inlineStr">
        <is>
          <t>揭阳市揭东区磐东洪运来机械厂</t>
        </is>
      </c>
      <c r="F1" s="26" t="n"/>
      <c r="G1" s="26" t="n"/>
    </row>
    <row r="2" ht="69.75" customHeight="1" s="264">
      <c r="A2" s="263" t="inlineStr">
        <is>
          <t>加工成本计算表</t>
        </is>
      </c>
      <c r="B2" s="265" t="n"/>
      <c r="C2" s="265" t="n"/>
      <c r="D2" s="265" t="n"/>
      <c r="E2" s="265" t="n"/>
      <c r="F2" s="26" t="n"/>
      <c r="G2" s="26" t="n"/>
    </row>
    <row r="3" ht="36.75" customHeight="1" s="264">
      <c r="A3" s="402" t="inlineStr">
        <is>
          <t xml:space="preserve">    项             目</t>
        </is>
      </c>
      <c r="B3" s="402" t="inlineStr">
        <is>
          <t>数量</t>
        </is>
      </c>
      <c r="C3" s="402" t="inlineStr">
        <is>
          <t>单位</t>
        </is>
      </c>
      <c r="D3" s="402" t="inlineStr">
        <is>
          <t>单位成本</t>
        </is>
      </c>
      <c r="E3" s="402" t="inlineStr">
        <is>
          <t>合   计</t>
        </is>
      </c>
    </row>
    <row r="4" ht="40.5" customHeight="1" s="264">
      <c r="A4" s="403" t="inlineStr">
        <is>
          <t>工       资</t>
        </is>
      </c>
      <c r="B4" s="404" t="n"/>
      <c r="C4" s="30" t="inlineStr">
        <is>
          <t>吨</t>
        </is>
      </c>
      <c r="D4" s="405" t="n">
        <v>323</v>
      </c>
      <c r="E4" s="405" t="n"/>
      <c r="H4" s="298" t="n"/>
    </row>
    <row r="5" ht="35.25" customHeight="1" s="264">
      <c r="A5" s="403" t="inlineStr">
        <is>
          <t>制造费用</t>
        </is>
      </c>
      <c r="B5" s="404" t="n"/>
      <c r="C5" s="30" t="inlineStr">
        <is>
          <t>吨</t>
        </is>
      </c>
      <c r="D5" s="405" t="n">
        <v>645</v>
      </c>
      <c r="E5" s="405">
        <f>E12*0.45149*0.954</f>
        <v/>
      </c>
    </row>
    <row r="6" ht="33" customHeight="1" s="264">
      <c r="A6" s="402" t="inlineStr">
        <is>
          <t>总         计</t>
        </is>
      </c>
      <c r="B6" s="404">
        <f>B4</f>
        <v/>
      </c>
      <c r="C6" s="30" t="n"/>
      <c r="D6" s="405" t="n">
        <v>968</v>
      </c>
      <c r="E6" s="405">
        <f>E4+E5</f>
        <v/>
      </c>
      <c r="F6" s="346" t="n"/>
    </row>
    <row r="9">
      <c r="B9" s="346" t="n"/>
      <c r="C9" s="346" t="n"/>
    </row>
    <row r="10">
      <c r="E10" s="346" t="n"/>
    </row>
    <row r="12">
      <c r="A12" s="0" t="inlineStr">
        <is>
          <t>加工收入：</t>
        </is>
      </c>
      <c r="E12" s="0">
        <f>E11/1.17</f>
        <v/>
      </c>
    </row>
    <row r="14">
      <c r="A14" s="0" t="inlineStr">
        <is>
          <t>加工利润</t>
        </is>
      </c>
      <c r="E14" s="298">
        <f>E12-E6</f>
        <v/>
      </c>
    </row>
    <row r="16">
      <c r="A16" s="0" t="inlineStr">
        <is>
          <t>毛利率</t>
        </is>
      </c>
      <c r="E16" s="0">
        <f>E14/E12</f>
        <v/>
      </c>
    </row>
  </sheetData>
  <mergeCells count="2">
    <mergeCell ref="A2:E2"/>
    <mergeCell ref="A1:E1"/>
  </mergeCell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微软用户</dc:creator>
  <dcterms:created xsi:type="dcterms:W3CDTF">2011-06-04T01:29:47Z</dcterms:created>
  <dcterms:modified xsi:type="dcterms:W3CDTF">2026-01-25T07:45:14Z</dcterms:modified>
  <cp:lastModifiedBy>JX</cp:lastModifiedBy>
  <cp:lastPrinted>2026-01-11T13:49:57Z</cp:lastPrinted>
</cp:coreProperties>
</file>